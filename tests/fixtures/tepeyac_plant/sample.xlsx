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 activeTab="7"/>
  </bookViews>
  <sheets>
    <sheet name="Datos_Cliente" sheetId="5" r:id="rId1"/>
    <sheet name="Lectura_Fert" sheetId="13" r:id="rId2"/>
    <sheet name="Factores" sheetId="14" r:id="rId3"/>
    <sheet name="Boro" sheetId="15" r:id="rId4"/>
    <sheet name="N_Total" sheetId="16" r:id="rId5"/>
    <sheet name="N-NO3" sheetId="17" r:id="rId6"/>
    <sheet name="P_Aprov" sheetId="18" r:id="rId7"/>
    <sheet name="RESULTADOS " sheetId="4" r:id="rId8"/>
    <sheet name="CULTIVOS" sheetId="19" r:id="rId9"/>
  </sheets>
  <definedNames>
    <definedName name="_xlnm._FilterDatabase" localSheetId="3" hidden="1">Boro!$A$1:$D$1</definedName>
    <definedName name="_xlnm._FilterDatabase" localSheetId="8" hidden="1">CULTIVOS!$A$1:$W$128</definedName>
    <definedName name="_xlnm._FilterDatabase" localSheetId="5" hidden="1">'N-NO3'!$A$1:$G$1</definedName>
    <definedName name="_xlnm._FilterDatabase" localSheetId="6" hidden="1">P_Aprov!$A$1:$D$1</definedName>
    <definedName name="_xlnm.Print_Area" localSheetId="1">Lectura_Fert!$B$3:$Y$30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4" l="1"/>
  <c r="B11" i="13" l="1"/>
  <c r="B12" i="13"/>
  <c r="AH4" i="4" l="1"/>
  <c r="L14" i="4" l="1"/>
  <c r="AG2" i="4" l="1"/>
  <c r="AA248" i="4" l="1"/>
  <c r="V248" i="4"/>
  <c r="Q248" i="4"/>
  <c r="L248" i="4"/>
  <c r="AA247" i="4"/>
  <c r="V247" i="4"/>
  <c r="Q247" i="4"/>
  <c r="L247" i="4"/>
  <c r="AA246" i="4"/>
  <c r="V246" i="4"/>
  <c r="Q246" i="4"/>
  <c r="L246" i="4"/>
  <c r="AA245" i="4"/>
  <c r="V245" i="4"/>
  <c r="Q245" i="4"/>
  <c r="L245" i="4"/>
  <c r="AA244" i="4"/>
  <c r="V244" i="4"/>
  <c r="Q244" i="4"/>
  <c r="L244" i="4"/>
  <c r="AA242" i="4"/>
  <c r="V242" i="4"/>
  <c r="Q242" i="4"/>
  <c r="L242" i="4"/>
  <c r="AA241" i="4"/>
  <c r="V241" i="4"/>
  <c r="Q241" i="4"/>
  <c r="L241" i="4"/>
  <c r="AA240" i="4"/>
  <c r="V240" i="4"/>
  <c r="Q240" i="4"/>
  <c r="L240" i="4"/>
  <c r="AA239" i="4"/>
  <c r="V239" i="4"/>
  <c r="Q239" i="4"/>
  <c r="L239" i="4"/>
  <c r="AA238" i="4"/>
  <c r="V238" i="4"/>
  <c r="Q238" i="4"/>
  <c r="L238" i="4"/>
  <c r="AA237" i="4"/>
  <c r="V237" i="4"/>
  <c r="Q237" i="4"/>
  <c r="L237" i="4"/>
  <c r="AA235" i="4"/>
  <c r="V235" i="4"/>
  <c r="Q235" i="4"/>
  <c r="L235" i="4"/>
  <c r="AA234" i="4"/>
  <c r="V234" i="4"/>
  <c r="Q234" i="4"/>
  <c r="L234" i="4"/>
  <c r="AG232" i="4"/>
  <c r="T232" i="4"/>
  <c r="E232" i="4"/>
  <c r="AG231" i="4"/>
  <c r="T231" i="4"/>
  <c r="E231" i="4"/>
  <c r="AG230" i="4"/>
  <c r="T230" i="4"/>
  <c r="E230" i="4"/>
  <c r="AH225" i="4"/>
  <c r="AH223" i="4"/>
  <c r="AG222" i="4"/>
  <c r="AI221" i="4"/>
  <c r="AA193" i="4"/>
  <c r="V193" i="4"/>
  <c r="Q193" i="4"/>
  <c r="L193" i="4"/>
  <c r="AA192" i="4"/>
  <c r="V192" i="4"/>
  <c r="Q192" i="4"/>
  <c r="L192" i="4"/>
  <c r="AA191" i="4"/>
  <c r="V191" i="4"/>
  <c r="Q191" i="4"/>
  <c r="L191" i="4"/>
  <c r="AA190" i="4"/>
  <c r="V190" i="4"/>
  <c r="Q190" i="4"/>
  <c r="L190" i="4"/>
  <c r="AA189" i="4"/>
  <c r="V189" i="4"/>
  <c r="Q189" i="4"/>
  <c r="L189" i="4"/>
  <c r="AA187" i="4"/>
  <c r="V187" i="4"/>
  <c r="Q187" i="4"/>
  <c r="L187" i="4"/>
  <c r="AA186" i="4"/>
  <c r="V186" i="4"/>
  <c r="Q186" i="4"/>
  <c r="L186" i="4"/>
  <c r="AA185" i="4"/>
  <c r="V185" i="4"/>
  <c r="Q185" i="4"/>
  <c r="L185" i="4"/>
  <c r="AA184" i="4"/>
  <c r="V184" i="4"/>
  <c r="Q184" i="4"/>
  <c r="L184" i="4"/>
  <c r="AA183" i="4"/>
  <c r="V183" i="4"/>
  <c r="Q183" i="4"/>
  <c r="L183" i="4"/>
  <c r="AA182" i="4"/>
  <c r="V182" i="4"/>
  <c r="Q182" i="4"/>
  <c r="L182" i="4"/>
  <c r="AA180" i="4"/>
  <c r="V180" i="4"/>
  <c r="Q180" i="4"/>
  <c r="L180" i="4"/>
  <c r="AA179" i="4"/>
  <c r="V179" i="4"/>
  <c r="Q179" i="4"/>
  <c r="L179" i="4"/>
  <c r="AG177" i="4"/>
  <c r="T177" i="4"/>
  <c r="E177" i="4"/>
  <c r="AG176" i="4"/>
  <c r="T176" i="4"/>
  <c r="E176" i="4"/>
  <c r="AG175" i="4"/>
  <c r="T175" i="4"/>
  <c r="E175" i="4"/>
  <c r="AH170" i="4"/>
  <c r="AH168" i="4"/>
  <c r="AG167" i="4"/>
  <c r="AI166" i="4"/>
  <c r="AA139" i="4"/>
  <c r="V139" i="4"/>
  <c r="Q139" i="4"/>
  <c r="L139" i="4"/>
  <c r="AA138" i="4"/>
  <c r="V138" i="4"/>
  <c r="Q138" i="4"/>
  <c r="L138" i="4"/>
  <c r="AA137" i="4"/>
  <c r="V137" i="4"/>
  <c r="Q137" i="4"/>
  <c r="L137" i="4"/>
  <c r="AA136" i="4"/>
  <c r="V136" i="4"/>
  <c r="Q136" i="4"/>
  <c r="L136" i="4"/>
  <c r="AA135" i="4"/>
  <c r="V135" i="4"/>
  <c r="Q135" i="4"/>
  <c r="L135" i="4"/>
  <c r="AA133" i="4"/>
  <c r="V133" i="4"/>
  <c r="Q133" i="4"/>
  <c r="L133" i="4"/>
  <c r="AA132" i="4"/>
  <c r="V132" i="4"/>
  <c r="Q132" i="4"/>
  <c r="L132" i="4"/>
  <c r="AA131" i="4"/>
  <c r="V131" i="4"/>
  <c r="Q131" i="4"/>
  <c r="L131" i="4"/>
  <c r="AA130" i="4"/>
  <c r="V130" i="4"/>
  <c r="Q130" i="4"/>
  <c r="L130" i="4"/>
  <c r="AA129" i="4"/>
  <c r="V129" i="4"/>
  <c r="Q129" i="4"/>
  <c r="L129" i="4"/>
  <c r="AA128" i="4"/>
  <c r="V128" i="4"/>
  <c r="Q128" i="4"/>
  <c r="L128" i="4"/>
  <c r="AA126" i="4"/>
  <c r="V126" i="4"/>
  <c r="Q126" i="4"/>
  <c r="L126" i="4"/>
  <c r="AA125" i="4"/>
  <c r="V125" i="4"/>
  <c r="Q125" i="4"/>
  <c r="L125" i="4"/>
  <c r="AG123" i="4"/>
  <c r="T123" i="4"/>
  <c r="E123" i="4"/>
  <c r="AG122" i="4"/>
  <c r="T122" i="4"/>
  <c r="E122" i="4"/>
  <c r="AG121" i="4"/>
  <c r="T121" i="4"/>
  <c r="E121" i="4"/>
  <c r="AH116" i="4"/>
  <c r="AH114" i="4"/>
  <c r="AG113" i="4"/>
  <c r="AI112" i="4"/>
  <c r="AA83" i="4"/>
  <c r="V83" i="4"/>
  <c r="Q83" i="4"/>
  <c r="L83" i="4"/>
  <c r="AA82" i="4"/>
  <c r="V82" i="4"/>
  <c r="Q82" i="4"/>
  <c r="L82" i="4"/>
  <c r="AA81" i="4"/>
  <c r="V81" i="4"/>
  <c r="Q81" i="4"/>
  <c r="L81" i="4"/>
  <c r="AA80" i="4"/>
  <c r="V80" i="4"/>
  <c r="Q80" i="4"/>
  <c r="L80" i="4"/>
  <c r="AA79" i="4"/>
  <c r="V79" i="4"/>
  <c r="Q79" i="4"/>
  <c r="L79" i="4"/>
  <c r="AA77" i="4"/>
  <c r="V77" i="4"/>
  <c r="Q77" i="4"/>
  <c r="L77" i="4"/>
  <c r="AA76" i="4"/>
  <c r="V76" i="4"/>
  <c r="Q76" i="4"/>
  <c r="L76" i="4"/>
  <c r="AA75" i="4"/>
  <c r="V75" i="4"/>
  <c r="Q75" i="4"/>
  <c r="L75" i="4"/>
  <c r="AA74" i="4"/>
  <c r="V74" i="4"/>
  <c r="Q74" i="4"/>
  <c r="L74" i="4"/>
  <c r="AA73" i="4"/>
  <c r="V73" i="4"/>
  <c r="Q73" i="4"/>
  <c r="L73" i="4"/>
  <c r="AA72" i="4"/>
  <c r="V72" i="4"/>
  <c r="Q72" i="4"/>
  <c r="L72" i="4"/>
  <c r="AA70" i="4"/>
  <c r="V70" i="4"/>
  <c r="Q70" i="4"/>
  <c r="L70" i="4"/>
  <c r="AA69" i="4"/>
  <c r="V69" i="4"/>
  <c r="Q69" i="4"/>
  <c r="L69" i="4"/>
  <c r="AG67" i="4"/>
  <c r="T67" i="4"/>
  <c r="E67" i="4"/>
  <c r="AG66" i="4"/>
  <c r="T66" i="4"/>
  <c r="E66" i="4"/>
  <c r="AG65" i="4"/>
  <c r="T65" i="4"/>
  <c r="E65" i="4"/>
  <c r="AH60" i="4"/>
  <c r="AH58" i="4"/>
  <c r="AG57" i="4"/>
  <c r="AI56" i="4"/>
  <c r="AA28" i="4"/>
  <c r="V28" i="4"/>
  <c r="Q28" i="4"/>
  <c r="L28" i="4"/>
  <c r="AA27" i="4"/>
  <c r="V27" i="4"/>
  <c r="Q27" i="4"/>
  <c r="L27" i="4"/>
  <c r="AA26" i="4"/>
  <c r="V26" i="4"/>
  <c r="Q26" i="4"/>
  <c r="L26" i="4"/>
  <c r="AA25" i="4"/>
  <c r="V25" i="4"/>
  <c r="Q25" i="4"/>
  <c r="L25" i="4"/>
  <c r="AA24" i="4"/>
  <c r="V24" i="4"/>
  <c r="Q24" i="4"/>
  <c r="L24" i="4"/>
  <c r="AA22" i="4"/>
  <c r="V22" i="4"/>
  <c r="Q22" i="4"/>
  <c r="L22" i="4"/>
  <c r="AA21" i="4"/>
  <c r="V21" i="4"/>
  <c r="Q21" i="4"/>
  <c r="L21" i="4"/>
  <c r="AA20" i="4"/>
  <c r="V20" i="4"/>
  <c r="Q20" i="4"/>
  <c r="L20" i="4"/>
  <c r="AA19" i="4"/>
  <c r="V19" i="4"/>
  <c r="Q19" i="4"/>
  <c r="L19" i="4"/>
  <c r="AA18" i="4"/>
  <c r="V18" i="4"/>
  <c r="Q18" i="4"/>
  <c r="L18" i="4"/>
  <c r="AA17" i="4"/>
  <c r="V17" i="4"/>
  <c r="Q17" i="4"/>
  <c r="L17" i="4"/>
  <c r="AA15" i="4"/>
  <c r="V15" i="4"/>
  <c r="Q15" i="4"/>
  <c r="AA14" i="4"/>
  <c r="V14" i="4"/>
  <c r="Q14" i="4"/>
  <c r="AG12" i="4"/>
  <c r="T12" i="4"/>
  <c r="E12" i="4"/>
  <c r="AG11" i="4"/>
  <c r="T11" i="4"/>
  <c r="E11" i="4"/>
  <c r="AG10" i="4"/>
  <c r="T10" i="4"/>
  <c r="E10" i="4"/>
  <c r="AH5" i="4"/>
  <c r="AI1" i="4"/>
  <c r="C193" i="18"/>
  <c r="B193" i="18" s="1"/>
  <c r="D193" i="18" s="1"/>
  <c r="C192" i="18"/>
  <c r="B192" i="18" s="1"/>
  <c r="D192" i="18" s="1"/>
  <c r="C191" i="18"/>
  <c r="B191" i="18" s="1"/>
  <c r="D191" i="18" s="1"/>
  <c r="C190" i="18"/>
  <c r="B190" i="18" s="1"/>
  <c r="D190" i="18" s="1"/>
  <c r="C189" i="18"/>
  <c r="B189" i="18" s="1"/>
  <c r="D189" i="18" s="1"/>
  <c r="C188" i="18"/>
  <c r="B188" i="18" s="1"/>
  <c r="D188" i="18" s="1"/>
  <c r="C187" i="18"/>
  <c r="B187" i="18" s="1"/>
  <c r="D187" i="18" s="1"/>
  <c r="C186" i="18"/>
  <c r="B186" i="18" s="1"/>
  <c r="D186" i="18" s="1"/>
  <c r="C185" i="18"/>
  <c r="B185" i="18" s="1"/>
  <c r="D185" i="18" s="1"/>
  <c r="C184" i="18"/>
  <c r="B184" i="18" s="1"/>
  <c r="D184" i="18" s="1"/>
  <c r="C183" i="18"/>
  <c r="B183" i="18" s="1"/>
  <c r="D183" i="18" s="1"/>
  <c r="C182" i="18"/>
  <c r="B182" i="18" s="1"/>
  <c r="D182" i="18" s="1"/>
  <c r="C181" i="18"/>
  <c r="B181" i="18" s="1"/>
  <c r="D181" i="18" s="1"/>
  <c r="C180" i="18"/>
  <c r="B180" i="18" s="1"/>
  <c r="D180" i="18" s="1"/>
  <c r="C179" i="18"/>
  <c r="B179" i="18" s="1"/>
  <c r="D179" i="18" s="1"/>
  <c r="C178" i="18"/>
  <c r="B178" i="18" s="1"/>
  <c r="D178" i="18" s="1"/>
  <c r="C177" i="18"/>
  <c r="B177" i="18" s="1"/>
  <c r="D177" i="18" s="1"/>
  <c r="C176" i="18"/>
  <c r="B176" i="18" s="1"/>
  <c r="D176" i="18" s="1"/>
  <c r="C175" i="18"/>
  <c r="B175" i="18" s="1"/>
  <c r="D175" i="18" s="1"/>
  <c r="C174" i="18"/>
  <c r="B174" i="18" s="1"/>
  <c r="D174" i="18" s="1"/>
  <c r="C173" i="18"/>
  <c r="B173" i="18" s="1"/>
  <c r="D173" i="18" s="1"/>
  <c r="C172" i="18"/>
  <c r="B172" i="18" s="1"/>
  <c r="D172" i="18" s="1"/>
  <c r="C171" i="18"/>
  <c r="B171" i="18" s="1"/>
  <c r="D171" i="18" s="1"/>
  <c r="C170" i="18"/>
  <c r="B170" i="18" s="1"/>
  <c r="D170" i="18" s="1"/>
  <c r="C169" i="18"/>
  <c r="B169" i="18" s="1"/>
  <c r="D169" i="18" s="1"/>
  <c r="C168" i="18"/>
  <c r="B168" i="18" s="1"/>
  <c r="D168" i="18" s="1"/>
  <c r="C167" i="18"/>
  <c r="B167" i="18" s="1"/>
  <c r="D167" i="18" s="1"/>
  <c r="C166" i="18"/>
  <c r="B166" i="18" s="1"/>
  <c r="D166" i="18" s="1"/>
  <c r="C165" i="18"/>
  <c r="B165" i="18" s="1"/>
  <c r="D165" i="18" s="1"/>
  <c r="C164" i="18"/>
  <c r="B164" i="18" s="1"/>
  <c r="D164" i="18" s="1"/>
  <c r="C163" i="18"/>
  <c r="B163" i="18" s="1"/>
  <c r="D163" i="18" s="1"/>
  <c r="C162" i="18"/>
  <c r="B162" i="18" s="1"/>
  <c r="D162" i="18" s="1"/>
  <c r="C161" i="18"/>
  <c r="B161" i="18" s="1"/>
  <c r="D161" i="18" s="1"/>
  <c r="C160" i="18"/>
  <c r="B160" i="18" s="1"/>
  <c r="D160" i="18" s="1"/>
  <c r="C159" i="18"/>
  <c r="B159" i="18" s="1"/>
  <c r="D159" i="18" s="1"/>
  <c r="C158" i="18"/>
  <c r="B158" i="18" s="1"/>
  <c r="D158" i="18" s="1"/>
  <c r="C157" i="18"/>
  <c r="B157" i="18" s="1"/>
  <c r="D157" i="18" s="1"/>
  <c r="C156" i="18"/>
  <c r="B156" i="18" s="1"/>
  <c r="D156" i="18" s="1"/>
  <c r="C155" i="18"/>
  <c r="B155" i="18" s="1"/>
  <c r="D155" i="18" s="1"/>
  <c r="C154" i="18"/>
  <c r="B154" i="18" s="1"/>
  <c r="D154" i="18" s="1"/>
  <c r="C153" i="18"/>
  <c r="B153" i="18" s="1"/>
  <c r="D153" i="18" s="1"/>
  <c r="C152" i="18"/>
  <c r="B152" i="18" s="1"/>
  <c r="D152" i="18" s="1"/>
  <c r="C151" i="18"/>
  <c r="B151" i="18" s="1"/>
  <c r="D151" i="18" s="1"/>
  <c r="C150" i="18"/>
  <c r="B150" i="18" s="1"/>
  <c r="D150" i="18" s="1"/>
  <c r="C149" i="18"/>
  <c r="B149" i="18"/>
  <c r="D149" i="18" s="1"/>
  <c r="C148" i="18"/>
  <c r="B148" i="18" s="1"/>
  <c r="D148" i="18" s="1"/>
  <c r="C147" i="18"/>
  <c r="B147" i="18" s="1"/>
  <c r="D147" i="18" s="1"/>
  <c r="C146" i="18"/>
  <c r="B146" i="18" s="1"/>
  <c r="D146" i="18" s="1"/>
  <c r="C145" i="18"/>
  <c r="B145" i="18" s="1"/>
  <c r="D145" i="18" s="1"/>
  <c r="C144" i="18"/>
  <c r="B144" i="18" s="1"/>
  <c r="D144" i="18" s="1"/>
  <c r="C143" i="18"/>
  <c r="B143" i="18" s="1"/>
  <c r="D143" i="18" s="1"/>
  <c r="C142" i="18"/>
  <c r="B142" i="18" s="1"/>
  <c r="D142" i="18" s="1"/>
  <c r="C141" i="18"/>
  <c r="B141" i="18" s="1"/>
  <c r="D141" i="18" s="1"/>
  <c r="C140" i="18"/>
  <c r="B140" i="18" s="1"/>
  <c r="D140" i="18" s="1"/>
  <c r="C139" i="18"/>
  <c r="B139" i="18" s="1"/>
  <c r="D139" i="18" s="1"/>
  <c r="C138" i="18"/>
  <c r="B138" i="18" s="1"/>
  <c r="D138" i="18" s="1"/>
  <c r="C137" i="18"/>
  <c r="B137" i="18" s="1"/>
  <c r="D137" i="18" s="1"/>
  <c r="C136" i="18"/>
  <c r="B136" i="18" s="1"/>
  <c r="D136" i="18" s="1"/>
  <c r="C135" i="18"/>
  <c r="B135" i="18" s="1"/>
  <c r="D135" i="18" s="1"/>
  <c r="C134" i="18"/>
  <c r="B134" i="18" s="1"/>
  <c r="D134" i="18" s="1"/>
  <c r="C133" i="18"/>
  <c r="B133" i="18" s="1"/>
  <c r="D133" i="18" s="1"/>
  <c r="C132" i="18"/>
  <c r="B132" i="18" s="1"/>
  <c r="D132" i="18" s="1"/>
  <c r="C131" i="18"/>
  <c r="B131" i="18" s="1"/>
  <c r="D131" i="18" s="1"/>
  <c r="C130" i="18"/>
  <c r="B130" i="18" s="1"/>
  <c r="D130" i="18" s="1"/>
  <c r="C129" i="18"/>
  <c r="B129" i="18" s="1"/>
  <c r="D129" i="18" s="1"/>
  <c r="C128" i="18"/>
  <c r="B128" i="18" s="1"/>
  <c r="D128" i="18" s="1"/>
  <c r="C127" i="18"/>
  <c r="B127" i="18" s="1"/>
  <c r="D127" i="18" s="1"/>
  <c r="C126" i="18"/>
  <c r="B126" i="18" s="1"/>
  <c r="D126" i="18" s="1"/>
  <c r="C125" i="18"/>
  <c r="B125" i="18" s="1"/>
  <c r="D125" i="18" s="1"/>
  <c r="C124" i="18"/>
  <c r="B124" i="18" s="1"/>
  <c r="D124" i="18" s="1"/>
  <c r="C123" i="18"/>
  <c r="B123" i="18" s="1"/>
  <c r="D123" i="18" s="1"/>
  <c r="C122" i="18"/>
  <c r="B122" i="18" s="1"/>
  <c r="D122" i="18" s="1"/>
  <c r="C121" i="18"/>
  <c r="B121" i="18" s="1"/>
  <c r="D121" i="18" s="1"/>
  <c r="C120" i="18"/>
  <c r="B120" i="18" s="1"/>
  <c r="D120" i="18" s="1"/>
  <c r="C119" i="18"/>
  <c r="B119" i="18" s="1"/>
  <c r="D119" i="18" s="1"/>
  <c r="C118" i="18"/>
  <c r="B118" i="18" s="1"/>
  <c r="D118" i="18" s="1"/>
  <c r="C117" i="18"/>
  <c r="B117" i="18" s="1"/>
  <c r="D117" i="18" s="1"/>
  <c r="C116" i="18"/>
  <c r="B116" i="18" s="1"/>
  <c r="D116" i="18" s="1"/>
  <c r="C115" i="18"/>
  <c r="B115" i="18" s="1"/>
  <c r="D115" i="18" s="1"/>
  <c r="C114" i="18"/>
  <c r="B114" i="18" s="1"/>
  <c r="D114" i="18" s="1"/>
  <c r="C113" i="18"/>
  <c r="B113" i="18" s="1"/>
  <c r="D113" i="18" s="1"/>
  <c r="C112" i="18"/>
  <c r="B112" i="18" s="1"/>
  <c r="D112" i="18" s="1"/>
  <c r="C111" i="18"/>
  <c r="B111" i="18" s="1"/>
  <c r="D111" i="18" s="1"/>
  <c r="C110" i="18"/>
  <c r="B110" i="18" s="1"/>
  <c r="D110" i="18" s="1"/>
  <c r="C109" i="18"/>
  <c r="B109" i="18" s="1"/>
  <c r="D109" i="18" s="1"/>
  <c r="C108" i="18"/>
  <c r="B108" i="18" s="1"/>
  <c r="D108" i="18" s="1"/>
  <c r="C107" i="18"/>
  <c r="B107" i="18" s="1"/>
  <c r="D107" i="18" s="1"/>
  <c r="C106" i="18"/>
  <c r="B106" i="18" s="1"/>
  <c r="D106" i="18" s="1"/>
  <c r="C105" i="18"/>
  <c r="B105" i="18" s="1"/>
  <c r="D105" i="18" s="1"/>
  <c r="C104" i="18"/>
  <c r="B104" i="18" s="1"/>
  <c r="D104" i="18" s="1"/>
  <c r="C103" i="18"/>
  <c r="B103" i="18" s="1"/>
  <c r="D103" i="18" s="1"/>
  <c r="C102" i="18"/>
  <c r="B102" i="18" s="1"/>
  <c r="D102" i="18" s="1"/>
  <c r="C101" i="18"/>
  <c r="B101" i="18" s="1"/>
  <c r="D101" i="18" s="1"/>
  <c r="C100" i="18"/>
  <c r="B100" i="18" s="1"/>
  <c r="D100" i="18" s="1"/>
  <c r="C99" i="18"/>
  <c r="B99" i="18" s="1"/>
  <c r="D99" i="18" s="1"/>
  <c r="C98" i="18"/>
  <c r="B98" i="18" s="1"/>
  <c r="D98" i="18" s="1"/>
  <c r="C97" i="18"/>
  <c r="B97" i="18" s="1"/>
  <c r="D97" i="18" s="1"/>
  <c r="C96" i="18"/>
  <c r="B96" i="18" s="1"/>
  <c r="D96" i="18" s="1"/>
  <c r="C95" i="18"/>
  <c r="B95" i="18" s="1"/>
  <c r="D95" i="18" s="1"/>
  <c r="C94" i="18"/>
  <c r="B94" i="18" s="1"/>
  <c r="D94" i="18" s="1"/>
  <c r="C93" i="18"/>
  <c r="B93" i="18" s="1"/>
  <c r="D93" i="18" s="1"/>
  <c r="C92" i="18"/>
  <c r="B92" i="18" s="1"/>
  <c r="D92" i="18" s="1"/>
  <c r="C91" i="18"/>
  <c r="B91" i="18" s="1"/>
  <c r="D91" i="18" s="1"/>
  <c r="C90" i="18"/>
  <c r="B90" i="18" s="1"/>
  <c r="D90" i="18" s="1"/>
  <c r="C89" i="18"/>
  <c r="B89" i="18" s="1"/>
  <c r="D89" i="18" s="1"/>
  <c r="C88" i="18"/>
  <c r="B88" i="18" s="1"/>
  <c r="D88" i="18" s="1"/>
  <c r="C87" i="18"/>
  <c r="B87" i="18" s="1"/>
  <c r="D87" i="18" s="1"/>
  <c r="C86" i="18"/>
  <c r="B86" i="18" s="1"/>
  <c r="D86" i="18" s="1"/>
  <c r="C85" i="18"/>
  <c r="B85" i="18" s="1"/>
  <c r="D85" i="18" s="1"/>
  <c r="C84" i="18"/>
  <c r="B84" i="18" s="1"/>
  <c r="D84" i="18" s="1"/>
  <c r="C83" i="18"/>
  <c r="B83" i="18" s="1"/>
  <c r="D83" i="18" s="1"/>
  <c r="C82" i="18"/>
  <c r="B82" i="18" s="1"/>
  <c r="D82" i="18" s="1"/>
  <c r="C81" i="18"/>
  <c r="B81" i="18" s="1"/>
  <c r="D81" i="18" s="1"/>
  <c r="C80" i="18"/>
  <c r="B80" i="18" s="1"/>
  <c r="D80" i="18" s="1"/>
  <c r="C79" i="18"/>
  <c r="B79" i="18" s="1"/>
  <c r="D79" i="18" s="1"/>
  <c r="C78" i="18"/>
  <c r="B78" i="18" s="1"/>
  <c r="D78" i="18" s="1"/>
  <c r="C77" i="18"/>
  <c r="B77" i="18" s="1"/>
  <c r="D77" i="18" s="1"/>
  <c r="C76" i="18"/>
  <c r="B76" i="18" s="1"/>
  <c r="D76" i="18" s="1"/>
  <c r="C75" i="18"/>
  <c r="B75" i="18" s="1"/>
  <c r="D75" i="18" s="1"/>
  <c r="C74" i="18"/>
  <c r="B74" i="18" s="1"/>
  <c r="D74" i="18" s="1"/>
  <c r="C73" i="18"/>
  <c r="B73" i="18" s="1"/>
  <c r="D73" i="18" s="1"/>
  <c r="C72" i="18"/>
  <c r="B72" i="18" s="1"/>
  <c r="D72" i="18" s="1"/>
  <c r="C71" i="18"/>
  <c r="B71" i="18" s="1"/>
  <c r="D71" i="18" s="1"/>
  <c r="C70" i="18"/>
  <c r="B70" i="18" s="1"/>
  <c r="D70" i="18" s="1"/>
  <c r="C69" i="18"/>
  <c r="B69" i="18" s="1"/>
  <c r="D69" i="18" s="1"/>
  <c r="C68" i="18"/>
  <c r="B68" i="18" s="1"/>
  <c r="D68" i="18" s="1"/>
  <c r="C67" i="18"/>
  <c r="B67" i="18" s="1"/>
  <c r="D67" i="18" s="1"/>
  <c r="C66" i="18"/>
  <c r="B66" i="18" s="1"/>
  <c r="D66" i="18" s="1"/>
  <c r="C65" i="18"/>
  <c r="B65" i="18" s="1"/>
  <c r="D65" i="18" s="1"/>
  <c r="C64" i="18"/>
  <c r="B64" i="18" s="1"/>
  <c r="D64" i="18" s="1"/>
  <c r="C63" i="18"/>
  <c r="B63" i="18" s="1"/>
  <c r="D63" i="18" s="1"/>
  <c r="C62" i="18"/>
  <c r="B62" i="18" s="1"/>
  <c r="D62" i="18" s="1"/>
  <c r="C61" i="18"/>
  <c r="B61" i="18" s="1"/>
  <c r="D61" i="18" s="1"/>
  <c r="C60" i="18"/>
  <c r="B60" i="18" s="1"/>
  <c r="D60" i="18" s="1"/>
  <c r="C59" i="18"/>
  <c r="B59" i="18" s="1"/>
  <c r="D59" i="18" s="1"/>
  <c r="C58" i="18"/>
  <c r="B58" i="18" s="1"/>
  <c r="D58" i="18" s="1"/>
  <c r="C57" i="18"/>
  <c r="B57" i="18" s="1"/>
  <c r="D57" i="18" s="1"/>
  <c r="C56" i="18"/>
  <c r="B56" i="18" s="1"/>
  <c r="D56" i="18" s="1"/>
  <c r="C55" i="18"/>
  <c r="B55" i="18" s="1"/>
  <c r="D55" i="18" s="1"/>
  <c r="C54" i="18"/>
  <c r="B54" i="18" s="1"/>
  <c r="D54" i="18" s="1"/>
  <c r="C53" i="18"/>
  <c r="B53" i="18" s="1"/>
  <c r="D53" i="18" s="1"/>
  <c r="C52" i="18"/>
  <c r="B52" i="18" s="1"/>
  <c r="D52" i="18" s="1"/>
  <c r="C51" i="18"/>
  <c r="B51" i="18" s="1"/>
  <c r="D51" i="18" s="1"/>
  <c r="C50" i="18"/>
  <c r="B50" i="18" s="1"/>
  <c r="D50" i="18" s="1"/>
  <c r="C49" i="18"/>
  <c r="B49" i="18" s="1"/>
  <c r="D49" i="18" s="1"/>
  <c r="C48" i="18"/>
  <c r="B48" i="18" s="1"/>
  <c r="D48" i="18" s="1"/>
  <c r="C47" i="18"/>
  <c r="B47" i="18" s="1"/>
  <c r="D47" i="18" s="1"/>
  <c r="C46" i="18"/>
  <c r="B46" i="18" s="1"/>
  <c r="D46" i="18" s="1"/>
  <c r="C45" i="18"/>
  <c r="B45" i="18" s="1"/>
  <c r="D45" i="18" s="1"/>
  <c r="C44" i="18"/>
  <c r="B44" i="18" s="1"/>
  <c r="D44" i="18" s="1"/>
  <c r="C43" i="18"/>
  <c r="B43" i="18" s="1"/>
  <c r="D43" i="18" s="1"/>
  <c r="C42" i="18"/>
  <c r="B42" i="18" s="1"/>
  <c r="D42" i="18" s="1"/>
  <c r="C41" i="18"/>
  <c r="B41" i="18" s="1"/>
  <c r="D41" i="18" s="1"/>
  <c r="C40" i="18"/>
  <c r="B40" i="18" s="1"/>
  <c r="D40" i="18" s="1"/>
  <c r="C39" i="18"/>
  <c r="B39" i="18" s="1"/>
  <c r="D39" i="18" s="1"/>
  <c r="C38" i="18"/>
  <c r="B38" i="18" s="1"/>
  <c r="D38" i="18" s="1"/>
  <c r="C37" i="18"/>
  <c r="B37" i="18" s="1"/>
  <c r="D37" i="18" s="1"/>
  <c r="C36" i="18"/>
  <c r="B36" i="18" s="1"/>
  <c r="D36" i="18" s="1"/>
  <c r="C35" i="18"/>
  <c r="B35" i="18" s="1"/>
  <c r="D35" i="18" s="1"/>
  <c r="C34" i="18"/>
  <c r="B34" i="18" s="1"/>
  <c r="D34" i="18" s="1"/>
  <c r="C33" i="18"/>
  <c r="B33" i="18" s="1"/>
  <c r="D33" i="18" s="1"/>
  <c r="C32" i="18"/>
  <c r="B32" i="18" s="1"/>
  <c r="D32" i="18" s="1"/>
  <c r="C31" i="18"/>
  <c r="B31" i="18" s="1"/>
  <c r="D31" i="18" s="1"/>
  <c r="C30" i="18"/>
  <c r="B30" i="18" s="1"/>
  <c r="D30" i="18" s="1"/>
  <c r="C29" i="18"/>
  <c r="B29" i="18" s="1"/>
  <c r="D29" i="18" s="1"/>
  <c r="C28" i="18"/>
  <c r="B28" i="18" s="1"/>
  <c r="D28" i="18" s="1"/>
  <c r="C27" i="18"/>
  <c r="B27" i="18" s="1"/>
  <c r="D27" i="18" s="1"/>
  <c r="C26" i="18"/>
  <c r="B26" i="18" s="1"/>
  <c r="D26" i="18" s="1"/>
  <c r="C25" i="18"/>
  <c r="B25" i="18" s="1"/>
  <c r="D25" i="18" s="1"/>
  <c r="C24" i="18"/>
  <c r="B24" i="18" s="1"/>
  <c r="D24" i="18" s="1"/>
  <c r="C23" i="18"/>
  <c r="B23" i="18" s="1"/>
  <c r="D23" i="18" s="1"/>
  <c r="C22" i="18"/>
  <c r="B22" i="18"/>
  <c r="D22" i="18" s="1"/>
  <c r="C21" i="18"/>
  <c r="B21" i="18" s="1"/>
  <c r="D21" i="18" s="1"/>
  <c r="C20" i="18"/>
  <c r="B20" i="18" s="1"/>
  <c r="D20" i="18" s="1"/>
  <c r="C19" i="18"/>
  <c r="B19" i="18" s="1"/>
  <c r="D19" i="18" s="1"/>
  <c r="C18" i="18"/>
  <c r="B18" i="18" s="1"/>
  <c r="D18" i="18" s="1"/>
  <c r="C17" i="18"/>
  <c r="B17" i="18" s="1"/>
  <c r="D17" i="18" s="1"/>
  <c r="C16" i="18"/>
  <c r="B16" i="18" s="1"/>
  <c r="D16" i="18" s="1"/>
  <c r="C15" i="18"/>
  <c r="B15" i="18" s="1"/>
  <c r="D15" i="18" s="1"/>
  <c r="C14" i="18"/>
  <c r="B14" i="18" s="1"/>
  <c r="D14" i="18" s="1"/>
  <c r="C13" i="18"/>
  <c r="B13" i="18" s="1"/>
  <c r="D13" i="18" s="1"/>
  <c r="C12" i="18"/>
  <c r="B12" i="18" s="1"/>
  <c r="D12" i="18" s="1"/>
  <c r="C11" i="18"/>
  <c r="B11" i="18" s="1"/>
  <c r="D11" i="18" s="1"/>
  <c r="C10" i="18"/>
  <c r="B10" i="18" s="1"/>
  <c r="D10" i="18" s="1"/>
  <c r="C9" i="18"/>
  <c r="B9" i="18" s="1"/>
  <c r="D9" i="18" s="1"/>
  <c r="C8" i="18"/>
  <c r="B8" i="18" s="1"/>
  <c r="D8" i="18" s="1"/>
  <c r="C7" i="18"/>
  <c r="B7" i="18"/>
  <c r="D7" i="18" s="1"/>
  <c r="C6" i="18"/>
  <c r="B6" i="18" s="1"/>
  <c r="D6" i="18" s="1"/>
  <c r="C5" i="18"/>
  <c r="B5" i="18" s="1"/>
  <c r="D5" i="18" s="1"/>
  <c r="C4" i="18"/>
  <c r="B4" i="18" s="1"/>
  <c r="D4" i="18" s="1"/>
  <c r="C3" i="18"/>
  <c r="B3" i="18" s="1"/>
  <c r="D3" i="18" s="1"/>
  <c r="C2" i="18"/>
  <c r="B2" i="18" s="1"/>
  <c r="D2" i="18" s="1"/>
  <c r="C187" i="17"/>
  <c r="B187" i="17" s="1"/>
  <c r="C186" i="17"/>
  <c r="B186" i="17" s="1"/>
  <c r="C185" i="17"/>
  <c r="B185" i="17" s="1"/>
  <c r="C184" i="17"/>
  <c r="B184" i="17" s="1"/>
  <c r="F184" i="17" s="1"/>
  <c r="C183" i="17"/>
  <c r="B183" i="17" s="1"/>
  <c r="G183" i="17" s="1"/>
  <c r="C182" i="17"/>
  <c r="B182" i="17" s="1"/>
  <c r="E182" i="17" s="1"/>
  <c r="C181" i="17"/>
  <c r="B181" i="17" s="1"/>
  <c r="D181" i="17" s="1"/>
  <c r="C180" i="17"/>
  <c r="B180" i="17" s="1"/>
  <c r="F180" i="17" s="1"/>
  <c r="C179" i="17"/>
  <c r="B179" i="17" s="1"/>
  <c r="C178" i="17"/>
  <c r="B178" i="17" s="1"/>
  <c r="C177" i="17"/>
  <c r="B177" i="17" s="1"/>
  <c r="C176" i="17"/>
  <c r="B176" i="17" s="1"/>
  <c r="C175" i="17"/>
  <c r="B175" i="17" s="1"/>
  <c r="C174" i="17"/>
  <c r="B174" i="17" s="1"/>
  <c r="C173" i="17"/>
  <c r="B173" i="17" s="1"/>
  <c r="C172" i="17"/>
  <c r="B172" i="17" s="1"/>
  <c r="F172" i="17" s="1"/>
  <c r="C171" i="17"/>
  <c r="B171" i="17" s="1"/>
  <c r="C170" i="17"/>
  <c r="B170" i="17" s="1"/>
  <c r="C169" i="17"/>
  <c r="B169" i="17" s="1"/>
  <c r="C168" i="17"/>
  <c r="B168" i="17" s="1"/>
  <c r="F168" i="17" s="1"/>
  <c r="C167" i="17"/>
  <c r="B167" i="17" s="1"/>
  <c r="C166" i="17"/>
  <c r="B166" i="17" s="1"/>
  <c r="C165" i="17"/>
  <c r="B165" i="17" s="1"/>
  <c r="E165" i="17" s="1"/>
  <c r="C164" i="17"/>
  <c r="B164" i="17" s="1"/>
  <c r="F164" i="17" s="1"/>
  <c r="C163" i="17"/>
  <c r="B163" i="17" s="1"/>
  <c r="C162" i="17"/>
  <c r="B162" i="17" s="1"/>
  <c r="C161" i="17"/>
  <c r="B161" i="17" s="1"/>
  <c r="C160" i="17"/>
  <c r="B160" i="17" s="1"/>
  <c r="C159" i="17"/>
  <c r="B159" i="17" s="1"/>
  <c r="C158" i="17"/>
  <c r="B158" i="17" s="1"/>
  <c r="C157" i="17"/>
  <c r="B157" i="17" s="1"/>
  <c r="C156" i="17"/>
  <c r="B156" i="17" s="1"/>
  <c r="C155" i="17"/>
  <c r="B155" i="17" s="1"/>
  <c r="F155" i="17" s="1"/>
  <c r="C154" i="17"/>
  <c r="B154" i="17" s="1"/>
  <c r="C153" i="17"/>
  <c r="B153" i="17" s="1"/>
  <c r="F153" i="17" s="1"/>
  <c r="C152" i="17"/>
  <c r="B152" i="17" s="1"/>
  <c r="G152" i="17" s="1"/>
  <c r="C151" i="17"/>
  <c r="B151" i="17" s="1"/>
  <c r="F151" i="17" s="1"/>
  <c r="C150" i="17"/>
  <c r="B150" i="17" s="1"/>
  <c r="C149" i="17"/>
  <c r="B149" i="17" s="1"/>
  <c r="C148" i="17"/>
  <c r="B148" i="17" s="1"/>
  <c r="C147" i="17"/>
  <c r="B147" i="17" s="1"/>
  <c r="F147" i="17" s="1"/>
  <c r="C146" i="17"/>
  <c r="B146" i="17" s="1"/>
  <c r="D146" i="17" s="1"/>
  <c r="C145" i="17"/>
  <c r="B145" i="17" s="1"/>
  <c r="C144" i="17"/>
  <c r="B144" i="17" s="1"/>
  <c r="D144" i="17" s="1"/>
  <c r="C143" i="17"/>
  <c r="B143" i="17" s="1"/>
  <c r="F143" i="17" s="1"/>
  <c r="C142" i="17"/>
  <c r="B142" i="17" s="1"/>
  <c r="D142" i="17" s="1"/>
  <c r="C141" i="17"/>
  <c r="B141" i="17" s="1"/>
  <c r="F141" i="17" s="1"/>
  <c r="C140" i="17"/>
  <c r="B140" i="17" s="1"/>
  <c r="C139" i="17"/>
  <c r="B139" i="17" s="1"/>
  <c r="F139" i="17" s="1"/>
  <c r="C138" i="17"/>
  <c r="B138" i="17" s="1"/>
  <c r="D138" i="17" s="1"/>
  <c r="C137" i="17"/>
  <c r="B137" i="17" s="1"/>
  <c r="C136" i="17"/>
  <c r="B136" i="17" s="1"/>
  <c r="D136" i="17" s="1"/>
  <c r="C135" i="17"/>
  <c r="B135" i="17" s="1"/>
  <c r="F135" i="17" s="1"/>
  <c r="C134" i="17"/>
  <c r="B134" i="17" s="1"/>
  <c r="D134" i="17" s="1"/>
  <c r="C133" i="17"/>
  <c r="B133" i="17" s="1"/>
  <c r="F133" i="17" s="1"/>
  <c r="C132" i="17"/>
  <c r="B132" i="17" s="1"/>
  <c r="C131" i="17"/>
  <c r="B131" i="17" s="1"/>
  <c r="F131" i="17" s="1"/>
  <c r="C130" i="17"/>
  <c r="B130" i="17" s="1"/>
  <c r="D130" i="17" s="1"/>
  <c r="C129" i="17"/>
  <c r="B129" i="17" s="1"/>
  <c r="C128" i="17"/>
  <c r="B128" i="17" s="1"/>
  <c r="D128" i="17" s="1"/>
  <c r="C127" i="17"/>
  <c r="B127" i="17" s="1"/>
  <c r="C126" i="17"/>
  <c r="B126" i="17" s="1"/>
  <c r="C125" i="17"/>
  <c r="B125" i="17" s="1"/>
  <c r="C124" i="17"/>
  <c r="B124" i="17" s="1"/>
  <c r="D124" i="17" s="1"/>
  <c r="C123" i="17"/>
  <c r="B123" i="17" s="1"/>
  <c r="C122" i="17"/>
  <c r="B122" i="17" s="1"/>
  <c r="D122" i="17" s="1"/>
  <c r="C121" i="17"/>
  <c r="B121" i="17" s="1"/>
  <c r="C120" i="17"/>
  <c r="B120" i="17" s="1"/>
  <c r="E120" i="17" s="1"/>
  <c r="C119" i="17"/>
  <c r="B119" i="17" s="1"/>
  <c r="C118" i="17"/>
  <c r="B118" i="17" s="1"/>
  <c r="C117" i="17"/>
  <c r="B117" i="17" s="1"/>
  <c r="C116" i="17"/>
  <c r="B116" i="17" s="1"/>
  <c r="D116" i="17" s="1"/>
  <c r="C115" i="17"/>
  <c r="B115" i="17" s="1"/>
  <c r="C114" i="17"/>
  <c r="B114" i="17" s="1"/>
  <c r="D114" i="17" s="1"/>
  <c r="C113" i="17"/>
  <c r="B113" i="17" s="1"/>
  <c r="C112" i="17"/>
  <c r="B112" i="17" s="1"/>
  <c r="E112" i="17" s="1"/>
  <c r="C111" i="17"/>
  <c r="B111" i="17" s="1"/>
  <c r="C110" i="17"/>
  <c r="B110" i="17" s="1"/>
  <c r="C109" i="17"/>
  <c r="B109" i="17" s="1"/>
  <c r="C108" i="17"/>
  <c r="B108" i="17" s="1"/>
  <c r="D108" i="17" s="1"/>
  <c r="C107" i="17"/>
  <c r="B107" i="17" s="1"/>
  <c r="C106" i="17"/>
  <c r="B106" i="17" s="1"/>
  <c r="D106" i="17" s="1"/>
  <c r="C105" i="17"/>
  <c r="B105" i="17" s="1"/>
  <c r="C104" i="17"/>
  <c r="B104" i="17" s="1"/>
  <c r="E104" i="17" s="1"/>
  <c r="C103" i="17"/>
  <c r="B103" i="17" s="1"/>
  <c r="C102" i="17"/>
  <c r="B102" i="17" s="1"/>
  <c r="C101" i="17"/>
  <c r="B101" i="17" s="1"/>
  <c r="C100" i="17"/>
  <c r="B100" i="17" s="1"/>
  <c r="D100" i="17" s="1"/>
  <c r="C99" i="17"/>
  <c r="B99" i="17" s="1"/>
  <c r="C98" i="17"/>
  <c r="B98" i="17" s="1"/>
  <c r="D98" i="17" s="1"/>
  <c r="C97" i="17"/>
  <c r="B97" i="17" s="1"/>
  <c r="C96" i="17"/>
  <c r="B96" i="17" s="1"/>
  <c r="E96" i="17" s="1"/>
  <c r="C95" i="17"/>
  <c r="B95" i="17" s="1"/>
  <c r="C94" i="17"/>
  <c r="B94" i="17" s="1"/>
  <c r="C93" i="17"/>
  <c r="B93" i="17" s="1"/>
  <c r="C92" i="17"/>
  <c r="B92" i="17" s="1"/>
  <c r="E92" i="17" s="1"/>
  <c r="C91" i="17"/>
  <c r="B91" i="17" s="1"/>
  <c r="C90" i="17"/>
  <c r="B90" i="17" s="1"/>
  <c r="E90" i="17" s="1"/>
  <c r="C89" i="17"/>
  <c r="B89" i="17" s="1"/>
  <c r="D88" i="17"/>
  <c r="C88" i="17"/>
  <c r="B88" i="17" s="1"/>
  <c r="E88" i="17" s="1"/>
  <c r="C87" i="17"/>
  <c r="B87" i="17" s="1"/>
  <c r="C86" i="17"/>
  <c r="B86" i="17" s="1"/>
  <c r="C85" i="17"/>
  <c r="B85" i="17" s="1"/>
  <c r="C84" i="17"/>
  <c r="B84" i="17" s="1"/>
  <c r="D84" i="17" s="1"/>
  <c r="C83" i="17"/>
  <c r="B83" i="17" s="1"/>
  <c r="C82" i="17"/>
  <c r="B82" i="17" s="1"/>
  <c r="D82" i="17" s="1"/>
  <c r="C81" i="17"/>
  <c r="B81" i="17" s="1"/>
  <c r="C80" i="17"/>
  <c r="B80" i="17" s="1"/>
  <c r="E80" i="17" s="1"/>
  <c r="C79" i="17"/>
  <c r="B79" i="17" s="1"/>
  <c r="C78" i="17"/>
  <c r="B78" i="17" s="1"/>
  <c r="C77" i="17"/>
  <c r="B77" i="17" s="1"/>
  <c r="C76" i="17"/>
  <c r="B76" i="17" s="1"/>
  <c r="E76" i="17" s="1"/>
  <c r="C75" i="17"/>
  <c r="B75" i="17" s="1"/>
  <c r="C74" i="17"/>
  <c r="B74" i="17" s="1"/>
  <c r="E74" i="17" s="1"/>
  <c r="C73" i="17"/>
  <c r="B73" i="17" s="1"/>
  <c r="C72" i="17"/>
  <c r="B72" i="17" s="1"/>
  <c r="D72" i="17" s="1"/>
  <c r="C71" i="17"/>
  <c r="B71" i="17" s="1"/>
  <c r="C70" i="17"/>
  <c r="B70" i="17" s="1"/>
  <c r="C69" i="17"/>
  <c r="B69" i="17" s="1"/>
  <c r="C68" i="17"/>
  <c r="B68" i="17" s="1"/>
  <c r="E68" i="17" s="1"/>
  <c r="C67" i="17"/>
  <c r="B67" i="17" s="1"/>
  <c r="F67" i="17" s="1"/>
  <c r="C66" i="17"/>
  <c r="B66" i="17" s="1"/>
  <c r="E66" i="17" s="1"/>
  <c r="C65" i="17"/>
  <c r="B65" i="17" s="1"/>
  <c r="C64" i="17"/>
  <c r="B64" i="17" s="1"/>
  <c r="D64" i="17" s="1"/>
  <c r="C63" i="17"/>
  <c r="B63" i="17" s="1"/>
  <c r="C62" i="17"/>
  <c r="B62" i="17" s="1"/>
  <c r="C61" i="17"/>
  <c r="B61" i="17" s="1"/>
  <c r="G61" i="17" s="1"/>
  <c r="C60" i="17"/>
  <c r="B60" i="17" s="1"/>
  <c r="F60" i="17" s="1"/>
  <c r="C59" i="17"/>
  <c r="B59" i="17" s="1"/>
  <c r="G59" i="17" s="1"/>
  <c r="C58" i="17"/>
  <c r="B58" i="17" s="1"/>
  <c r="E58" i="17" s="1"/>
  <c r="C57" i="17"/>
  <c r="B57" i="17" s="1"/>
  <c r="C56" i="17"/>
  <c r="B56" i="17" s="1"/>
  <c r="C55" i="17"/>
  <c r="B55" i="17" s="1"/>
  <c r="C54" i="17"/>
  <c r="B54" i="17" s="1"/>
  <c r="F54" i="17" s="1"/>
  <c r="C53" i="17"/>
  <c r="B53" i="17" s="1"/>
  <c r="G53" i="17" s="1"/>
  <c r="C52" i="17"/>
  <c r="B52" i="17" s="1"/>
  <c r="F52" i="17" s="1"/>
  <c r="C51" i="17"/>
  <c r="B51" i="17" s="1"/>
  <c r="G51" i="17" s="1"/>
  <c r="C50" i="17"/>
  <c r="B50" i="17" s="1"/>
  <c r="C49" i="17"/>
  <c r="B49" i="17" s="1"/>
  <c r="D49" i="17" s="1"/>
  <c r="C48" i="17"/>
  <c r="B48" i="17" s="1"/>
  <c r="C47" i="17"/>
  <c r="B47" i="17" s="1"/>
  <c r="C46" i="17"/>
  <c r="B46" i="17" s="1"/>
  <c r="F46" i="17" s="1"/>
  <c r="C45" i="17"/>
  <c r="B45" i="17" s="1"/>
  <c r="G45" i="17" s="1"/>
  <c r="C44" i="17"/>
  <c r="B44" i="17" s="1"/>
  <c r="C43" i="17"/>
  <c r="B43" i="17" s="1"/>
  <c r="G43" i="17" s="1"/>
  <c r="C42" i="17"/>
  <c r="B42" i="17" s="1"/>
  <c r="C41" i="17"/>
  <c r="B41" i="17" s="1"/>
  <c r="C40" i="17"/>
  <c r="B40" i="17" s="1"/>
  <c r="C39" i="17"/>
  <c r="B39" i="17" s="1"/>
  <c r="C38" i="17"/>
  <c r="B38" i="17" s="1"/>
  <c r="F38" i="17" s="1"/>
  <c r="C37" i="17"/>
  <c r="B37" i="17" s="1"/>
  <c r="G37" i="17" s="1"/>
  <c r="C36" i="17"/>
  <c r="B36" i="17" s="1"/>
  <c r="C35" i="17"/>
  <c r="B35" i="17" s="1"/>
  <c r="G35" i="17" s="1"/>
  <c r="C34" i="17"/>
  <c r="B34" i="17" s="1"/>
  <c r="E34" i="17" s="1"/>
  <c r="C33" i="17"/>
  <c r="B33" i="17" s="1"/>
  <c r="D33" i="17" s="1"/>
  <c r="C32" i="17"/>
  <c r="B32" i="17" s="1"/>
  <c r="C31" i="17"/>
  <c r="B31" i="17" s="1"/>
  <c r="C30" i="17"/>
  <c r="B30" i="17" s="1"/>
  <c r="F30" i="17" s="1"/>
  <c r="C29" i="17"/>
  <c r="B29" i="17" s="1"/>
  <c r="F29" i="17" s="1"/>
  <c r="C28" i="17"/>
  <c r="B28" i="17" s="1"/>
  <c r="D28" i="17" s="1"/>
  <c r="C27" i="17"/>
  <c r="B27" i="17" s="1"/>
  <c r="F27" i="17" s="1"/>
  <c r="C26" i="17"/>
  <c r="B26" i="17" s="1"/>
  <c r="C25" i="17"/>
  <c r="B25" i="17" s="1"/>
  <c r="C24" i="17"/>
  <c r="B24" i="17" s="1"/>
  <c r="C23" i="17"/>
  <c r="B23" i="17" s="1"/>
  <c r="C22" i="17"/>
  <c r="B22" i="17" s="1"/>
  <c r="C21" i="17"/>
  <c r="B21" i="17" s="1"/>
  <c r="C20" i="17"/>
  <c r="B20" i="17" s="1"/>
  <c r="C19" i="17"/>
  <c r="B19" i="17" s="1"/>
  <c r="C18" i="17"/>
  <c r="B18" i="17" s="1"/>
  <c r="C17" i="17"/>
  <c r="B17" i="17" s="1"/>
  <c r="D17" i="17" s="1"/>
  <c r="C16" i="17"/>
  <c r="B16" i="17" s="1"/>
  <c r="C15" i="17"/>
  <c r="B15" i="17" s="1"/>
  <c r="D15" i="17" s="1"/>
  <c r="C14" i="17"/>
  <c r="B14" i="17" s="1"/>
  <c r="C13" i="17"/>
  <c r="B13" i="17" s="1"/>
  <c r="D13" i="17" s="1"/>
  <c r="C12" i="17"/>
  <c r="B12" i="17" s="1"/>
  <c r="C11" i="17"/>
  <c r="B11" i="17" s="1"/>
  <c r="D11" i="17" s="1"/>
  <c r="C10" i="17"/>
  <c r="B10" i="17" s="1"/>
  <c r="C9" i="17"/>
  <c r="B9" i="17" s="1"/>
  <c r="D9" i="17" s="1"/>
  <c r="C8" i="17"/>
  <c r="B8" i="17" s="1"/>
  <c r="C7" i="17"/>
  <c r="B7" i="17" s="1"/>
  <c r="D7" i="17" s="1"/>
  <c r="C6" i="17"/>
  <c r="B6" i="17" s="1"/>
  <c r="C5" i="17"/>
  <c r="B5" i="17" s="1"/>
  <c r="D5" i="17" s="1"/>
  <c r="C4" i="17"/>
  <c r="B4" i="17" s="1"/>
  <c r="C3" i="17"/>
  <c r="B3" i="17" s="1"/>
  <c r="D3" i="17" s="1"/>
  <c r="C2" i="17"/>
  <c r="B2" i="17" s="1"/>
  <c r="D194" i="15"/>
  <c r="B194" i="15"/>
  <c r="B193" i="15"/>
  <c r="C193" i="15" s="1"/>
  <c r="D193" i="15" s="1"/>
  <c r="B192" i="15"/>
  <c r="C192" i="15" s="1"/>
  <c r="D192" i="15" s="1"/>
  <c r="B191" i="15"/>
  <c r="C191" i="15" s="1"/>
  <c r="D191" i="15" s="1"/>
  <c r="C190" i="15"/>
  <c r="D190" i="15" s="1"/>
  <c r="B189" i="15"/>
  <c r="C189" i="15" s="1"/>
  <c r="D189" i="15" s="1"/>
  <c r="B188" i="15"/>
  <c r="C188" i="15" s="1"/>
  <c r="D188" i="15" s="1"/>
  <c r="B187" i="15"/>
  <c r="C187" i="15" s="1"/>
  <c r="D187" i="15" s="1"/>
  <c r="B186" i="15"/>
  <c r="C186" i="15" s="1"/>
  <c r="D186" i="15" s="1"/>
  <c r="B185" i="15"/>
  <c r="C185" i="15" s="1"/>
  <c r="D185" i="15" s="1"/>
  <c r="B184" i="15"/>
  <c r="C184" i="15" s="1"/>
  <c r="D184" i="15" s="1"/>
  <c r="B183" i="15"/>
  <c r="C183" i="15" s="1"/>
  <c r="D183" i="15" s="1"/>
  <c r="B182" i="15"/>
  <c r="C182" i="15" s="1"/>
  <c r="D182" i="15" s="1"/>
  <c r="B181" i="15"/>
  <c r="C181" i="15" s="1"/>
  <c r="D181" i="15" s="1"/>
  <c r="B180" i="15"/>
  <c r="C180" i="15" s="1"/>
  <c r="D180" i="15" s="1"/>
  <c r="B179" i="15"/>
  <c r="C179" i="15" s="1"/>
  <c r="D179" i="15" s="1"/>
  <c r="B178" i="15"/>
  <c r="C178" i="15" s="1"/>
  <c r="D178" i="15" s="1"/>
  <c r="B177" i="15"/>
  <c r="C177" i="15" s="1"/>
  <c r="D177" i="15" s="1"/>
  <c r="B176" i="15"/>
  <c r="C176" i="15" s="1"/>
  <c r="D176" i="15" s="1"/>
  <c r="B175" i="15"/>
  <c r="C175" i="15" s="1"/>
  <c r="D175" i="15" s="1"/>
  <c r="B174" i="15"/>
  <c r="C174" i="15" s="1"/>
  <c r="D174" i="15" s="1"/>
  <c r="B173" i="15"/>
  <c r="C173" i="15" s="1"/>
  <c r="D173" i="15" s="1"/>
  <c r="B172" i="15"/>
  <c r="C172" i="15" s="1"/>
  <c r="D172" i="15" s="1"/>
  <c r="B171" i="15"/>
  <c r="C171" i="15" s="1"/>
  <c r="D171" i="15" s="1"/>
  <c r="B170" i="15"/>
  <c r="C170" i="15" s="1"/>
  <c r="D170" i="15" s="1"/>
  <c r="B169" i="15"/>
  <c r="C169" i="15" s="1"/>
  <c r="D169" i="15" s="1"/>
  <c r="B168" i="15"/>
  <c r="C168" i="15" s="1"/>
  <c r="D168" i="15" s="1"/>
  <c r="B167" i="15"/>
  <c r="C167" i="15" s="1"/>
  <c r="D167" i="15" s="1"/>
  <c r="B166" i="15"/>
  <c r="C166" i="15" s="1"/>
  <c r="D166" i="15" s="1"/>
  <c r="B165" i="15"/>
  <c r="C165" i="15" s="1"/>
  <c r="D165" i="15" s="1"/>
  <c r="B164" i="15"/>
  <c r="C164" i="15" s="1"/>
  <c r="D164" i="15" s="1"/>
  <c r="B163" i="15"/>
  <c r="C163" i="15" s="1"/>
  <c r="D163" i="15" s="1"/>
  <c r="B162" i="15"/>
  <c r="C162" i="15" s="1"/>
  <c r="D162" i="15" s="1"/>
  <c r="B161" i="15"/>
  <c r="C161" i="15" s="1"/>
  <c r="D161" i="15" s="1"/>
  <c r="B160" i="15"/>
  <c r="C160" i="15" s="1"/>
  <c r="D160" i="15" s="1"/>
  <c r="B159" i="15"/>
  <c r="C159" i="15" s="1"/>
  <c r="D159" i="15" s="1"/>
  <c r="B158" i="15"/>
  <c r="C158" i="15" s="1"/>
  <c r="D158" i="15" s="1"/>
  <c r="B157" i="15"/>
  <c r="C157" i="15" s="1"/>
  <c r="D157" i="15" s="1"/>
  <c r="B156" i="15"/>
  <c r="C156" i="15" s="1"/>
  <c r="D156" i="15" s="1"/>
  <c r="B155" i="15"/>
  <c r="C155" i="15" s="1"/>
  <c r="D155" i="15" s="1"/>
  <c r="B154" i="15"/>
  <c r="C154" i="15" s="1"/>
  <c r="D154" i="15" s="1"/>
  <c r="B153" i="15"/>
  <c r="C153" i="15" s="1"/>
  <c r="D153" i="15" s="1"/>
  <c r="B152" i="15"/>
  <c r="C152" i="15" s="1"/>
  <c r="D152" i="15" s="1"/>
  <c r="B151" i="15"/>
  <c r="C151" i="15" s="1"/>
  <c r="D151" i="15" s="1"/>
  <c r="B150" i="15"/>
  <c r="C150" i="15" s="1"/>
  <c r="D150" i="15" s="1"/>
  <c r="B149" i="15"/>
  <c r="C149" i="15" s="1"/>
  <c r="D149" i="15" s="1"/>
  <c r="B148" i="15"/>
  <c r="C148" i="15" s="1"/>
  <c r="D148" i="15" s="1"/>
  <c r="B147" i="15"/>
  <c r="C147" i="15" s="1"/>
  <c r="D147" i="15" s="1"/>
  <c r="B146" i="15"/>
  <c r="C146" i="15" s="1"/>
  <c r="D146" i="15" s="1"/>
  <c r="B145" i="15"/>
  <c r="C145" i="15" s="1"/>
  <c r="D145" i="15" s="1"/>
  <c r="B144" i="15"/>
  <c r="C144" i="15" s="1"/>
  <c r="D144" i="15" s="1"/>
  <c r="B143" i="15"/>
  <c r="C143" i="15" s="1"/>
  <c r="D143" i="15" s="1"/>
  <c r="B142" i="15"/>
  <c r="C142" i="15" s="1"/>
  <c r="D142" i="15" s="1"/>
  <c r="C141" i="15"/>
  <c r="D141" i="15" s="1"/>
  <c r="B141" i="15"/>
  <c r="B140" i="15"/>
  <c r="C140" i="15" s="1"/>
  <c r="D140" i="15" s="1"/>
  <c r="B139" i="15"/>
  <c r="C139" i="15" s="1"/>
  <c r="D139" i="15" s="1"/>
  <c r="B138" i="15"/>
  <c r="C138" i="15" s="1"/>
  <c r="D138" i="15" s="1"/>
  <c r="B137" i="15"/>
  <c r="C137" i="15" s="1"/>
  <c r="D137" i="15" s="1"/>
  <c r="B136" i="15"/>
  <c r="C136" i="15" s="1"/>
  <c r="D136" i="15" s="1"/>
  <c r="B135" i="15"/>
  <c r="C135" i="15" s="1"/>
  <c r="D135" i="15" s="1"/>
  <c r="B134" i="15"/>
  <c r="C134" i="15" s="1"/>
  <c r="D134" i="15" s="1"/>
  <c r="B133" i="15"/>
  <c r="C133" i="15" s="1"/>
  <c r="D133" i="15" s="1"/>
  <c r="B132" i="15"/>
  <c r="C132" i="15" s="1"/>
  <c r="D132" i="15" s="1"/>
  <c r="B131" i="15"/>
  <c r="C131" i="15" s="1"/>
  <c r="D131" i="15" s="1"/>
  <c r="B130" i="15"/>
  <c r="C130" i="15" s="1"/>
  <c r="D130" i="15" s="1"/>
  <c r="B129" i="15"/>
  <c r="C129" i="15" s="1"/>
  <c r="D129" i="15" s="1"/>
  <c r="B128" i="15"/>
  <c r="C128" i="15" s="1"/>
  <c r="D128" i="15" s="1"/>
  <c r="B127" i="15"/>
  <c r="C127" i="15" s="1"/>
  <c r="D127" i="15" s="1"/>
  <c r="B126" i="15"/>
  <c r="C126" i="15" s="1"/>
  <c r="D126" i="15" s="1"/>
  <c r="B125" i="15"/>
  <c r="C125" i="15" s="1"/>
  <c r="D125" i="15" s="1"/>
  <c r="B124" i="15"/>
  <c r="C124" i="15" s="1"/>
  <c r="D124" i="15" s="1"/>
  <c r="B123" i="15"/>
  <c r="C123" i="15" s="1"/>
  <c r="D123" i="15" s="1"/>
  <c r="B122" i="15"/>
  <c r="C122" i="15" s="1"/>
  <c r="D122" i="15" s="1"/>
  <c r="B121" i="15"/>
  <c r="C121" i="15" s="1"/>
  <c r="D121" i="15" s="1"/>
  <c r="B120" i="15"/>
  <c r="C120" i="15" s="1"/>
  <c r="D120" i="15" s="1"/>
  <c r="B119" i="15"/>
  <c r="C119" i="15" s="1"/>
  <c r="D119" i="15" s="1"/>
  <c r="B118" i="15"/>
  <c r="C118" i="15" s="1"/>
  <c r="D118" i="15" s="1"/>
  <c r="B117" i="15"/>
  <c r="C117" i="15" s="1"/>
  <c r="D117" i="15" s="1"/>
  <c r="B116" i="15"/>
  <c r="C116" i="15" s="1"/>
  <c r="D116" i="15" s="1"/>
  <c r="B115" i="15"/>
  <c r="C115" i="15" s="1"/>
  <c r="D115" i="15" s="1"/>
  <c r="B114" i="15"/>
  <c r="C114" i="15" s="1"/>
  <c r="D114" i="15" s="1"/>
  <c r="B113" i="15"/>
  <c r="C113" i="15" s="1"/>
  <c r="D113" i="15" s="1"/>
  <c r="B112" i="15"/>
  <c r="C112" i="15" s="1"/>
  <c r="D112" i="15" s="1"/>
  <c r="B111" i="15"/>
  <c r="C111" i="15" s="1"/>
  <c r="D111" i="15" s="1"/>
  <c r="B110" i="15"/>
  <c r="C110" i="15" s="1"/>
  <c r="D110" i="15" s="1"/>
  <c r="B109" i="15"/>
  <c r="C109" i="15" s="1"/>
  <c r="D109" i="15" s="1"/>
  <c r="B108" i="15"/>
  <c r="C108" i="15" s="1"/>
  <c r="D108" i="15" s="1"/>
  <c r="B107" i="15"/>
  <c r="C107" i="15" s="1"/>
  <c r="D107" i="15" s="1"/>
  <c r="B106" i="15"/>
  <c r="C106" i="15" s="1"/>
  <c r="D106" i="15" s="1"/>
  <c r="B105" i="15"/>
  <c r="C105" i="15" s="1"/>
  <c r="D105" i="15" s="1"/>
  <c r="B104" i="15"/>
  <c r="C104" i="15" s="1"/>
  <c r="D104" i="15" s="1"/>
  <c r="B103" i="15"/>
  <c r="C103" i="15" s="1"/>
  <c r="D103" i="15" s="1"/>
  <c r="B102" i="15"/>
  <c r="C102" i="15" s="1"/>
  <c r="D102" i="15" s="1"/>
  <c r="B101" i="15"/>
  <c r="C101" i="15" s="1"/>
  <c r="D101" i="15" s="1"/>
  <c r="B100" i="15"/>
  <c r="C100" i="15" s="1"/>
  <c r="D100" i="15" s="1"/>
  <c r="B99" i="15"/>
  <c r="C99" i="15" s="1"/>
  <c r="D99" i="15" s="1"/>
  <c r="B98" i="15"/>
  <c r="C98" i="15" s="1"/>
  <c r="D98" i="15" s="1"/>
  <c r="B97" i="15"/>
  <c r="C97" i="15" s="1"/>
  <c r="D97" i="15" s="1"/>
  <c r="B96" i="15"/>
  <c r="C96" i="15" s="1"/>
  <c r="D96" i="15" s="1"/>
  <c r="B95" i="15"/>
  <c r="C95" i="15" s="1"/>
  <c r="D95" i="15" s="1"/>
  <c r="B94" i="15"/>
  <c r="C94" i="15" s="1"/>
  <c r="D94" i="15" s="1"/>
  <c r="B93" i="15"/>
  <c r="C93" i="15" s="1"/>
  <c r="D93" i="15" s="1"/>
  <c r="B92" i="15"/>
  <c r="C92" i="15" s="1"/>
  <c r="D92" i="15" s="1"/>
  <c r="B91" i="15"/>
  <c r="C91" i="15" s="1"/>
  <c r="D91" i="15" s="1"/>
  <c r="B90" i="15"/>
  <c r="C90" i="15" s="1"/>
  <c r="D90" i="15" s="1"/>
  <c r="B89" i="15"/>
  <c r="C89" i="15" s="1"/>
  <c r="D89" i="15" s="1"/>
  <c r="B88" i="15"/>
  <c r="C88" i="15" s="1"/>
  <c r="D88" i="15" s="1"/>
  <c r="B87" i="15"/>
  <c r="C87" i="15" s="1"/>
  <c r="D87" i="15" s="1"/>
  <c r="B86" i="15"/>
  <c r="C86" i="15" s="1"/>
  <c r="D86" i="15" s="1"/>
  <c r="B85" i="15"/>
  <c r="C85" i="15" s="1"/>
  <c r="D85" i="15" s="1"/>
  <c r="B84" i="15"/>
  <c r="C84" i="15" s="1"/>
  <c r="D84" i="15" s="1"/>
  <c r="B83" i="15"/>
  <c r="C83" i="15" s="1"/>
  <c r="D83" i="15" s="1"/>
  <c r="B82" i="15"/>
  <c r="C82" i="15" s="1"/>
  <c r="D82" i="15" s="1"/>
  <c r="B81" i="15"/>
  <c r="C81" i="15" s="1"/>
  <c r="D81" i="15" s="1"/>
  <c r="B80" i="15"/>
  <c r="C80" i="15" s="1"/>
  <c r="D80" i="15" s="1"/>
  <c r="B79" i="15"/>
  <c r="C79" i="15" s="1"/>
  <c r="D79" i="15" s="1"/>
  <c r="B78" i="15"/>
  <c r="C78" i="15" s="1"/>
  <c r="D78" i="15" s="1"/>
  <c r="B77" i="15"/>
  <c r="C77" i="15" s="1"/>
  <c r="D77" i="15" s="1"/>
  <c r="B76" i="15"/>
  <c r="C76" i="15" s="1"/>
  <c r="D76" i="15" s="1"/>
  <c r="B75" i="15"/>
  <c r="C75" i="15" s="1"/>
  <c r="D75" i="15" s="1"/>
  <c r="B74" i="15"/>
  <c r="C74" i="15" s="1"/>
  <c r="D74" i="15" s="1"/>
  <c r="B73" i="15"/>
  <c r="C73" i="15" s="1"/>
  <c r="D73" i="15" s="1"/>
  <c r="B72" i="15"/>
  <c r="C72" i="15" s="1"/>
  <c r="D72" i="15" s="1"/>
  <c r="B71" i="15"/>
  <c r="C71" i="15" s="1"/>
  <c r="D71" i="15" s="1"/>
  <c r="B70" i="15"/>
  <c r="C70" i="15" s="1"/>
  <c r="D70" i="15" s="1"/>
  <c r="B69" i="15"/>
  <c r="C69" i="15" s="1"/>
  <c r="D69" i="15" s="1"/>
  <c r="B68" i="15"/>
  <c r="C68" i="15" s="1"/>
  <c r="D68" i="15" s="1"/>
  <c r="B67" i="15"/>
  <c r="C67" i="15" s="1"/>
  <c r="D67" i="15" s="1"/>
  <c r="B66" i="15"/>
  <c r="C66" i="15" s="1"/>
  <c r="D66" i="15" s="1"/>
  <c r="B65" i="15"/>
  <c r="C65" i="15" s="1"/>
  <c r="D65" i="15" s="1"/>
  <c r="B64" i="15"/>
  <c r="C64" i="15" s="1"/>
  <c r="D64" i="15" s="1"/>
  <c r="B63" i="15"/>
  <c r="C63" i="15" s="1"/>
  <c r="D63" i="15" s="1"/>
  <c r="B62" i="15"/>
  <c r="C62" i="15" s="1"/>
  <c r="D62" i="15" s="1"/>
  <c r="B61" i="15"/>
  <c r="C61" i="15" s="1"/>
  <c r="D61" i="15" s="1"/>
  <c r="B60" i="15"/>
  <c r="C60" i="15" s="1"/>
  <c r="D60" i="15" s="1"/>
  <c r="B59" i="15"/>
  <c r="C59" i="15" s="1"/>
  <c r="D59" i="15" s="1"/>
  <c r="B58" i="15"/>
  <c r="C58" i="15" s="1"/>
  <c r="D58" i="15" s="1"/>
  <c r="B57" i="15"/>
  <c r="C57" i="15" s="1"/>
  <c r="D57" i="15" s="1"/>
  <c r="B56" i="15"/>
  <c r="C56" i="15" s="1"/>
  <c r="D56" i="15" s="1"/>
  <c r="B55" i="15"/>
  <c r="C55" i="15" s="1"/>
  <c r="D55" i="15" s="1"/>
  <c r="B54" i="15"/>
  <c r="C54" i="15" s="1"/>
  <c r="D54" i="15" s="1"/>
  <c r="B53" i="15"/>
  <c r="C53" i="15" s="1"/>
  <c r="D53" i="15" s="1"/>
  <c r="B52" i="15"/>
  <c r="C52" i="15" s="1"/>
  <c r="D52" i="15" s="1"/>
  <c r="B51" i="15"/>
  <c r="C51" i="15" s="1"/>
  <c r="D51" i="15" s="1"/>
  <c r="B50" i="15"/>
  <c r="C50" i="15" s="1"/>
  <c r="D50" i="15" s="1"/>
  <c r="B49" i="15"/>
  <c r="C49" i="15" s="1"/>
  <c r="D49" i="15" s="1"/>
  <c r="B48" i="15"/>
  <c r="C48" i="15" s="1"/>
  <c r="D48" i="15" s="1"/>
  <c r="B47" i="15"/>
  <c r="C47" i="15" s="1"/>
  <c r="D47" i="15" s="1"/>
  <c r="B46" i="15"/>
  <c r="C46" i="15" s="1"/>
  <c r="D46" i="15" s="1"/>
  <c r="B45" i="15"/>
  <c r="C45" i="15" s="1"/>
  <c r="D45" i="15" s="1"/>
  <c r="B44" i="15"/>
  <c r="C44" i="15" s="1"/>
  <c r="D44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B39" i="15"/>
  <c r="C39" i="15" s="1"/>
  <c r="D39" i="15" s="1"/>
  <c r="B38" i="15"/>
  <c r="C38" i="15" s="1"/>
  <c r="D38" i="15" s="1"/>
  <c r="B37" i="15"/>
  <c r="C37" i="15" s="1"/>
  <c r="D37" i="15" s="1"/>
  <c r="B36" i="15"/>
  <c r="C36" i="15" s="1"/>
  <c r="D36" i="15" s="1"/>
  <c r="B35" i="15"/>
  <c r="C35" i="15" s="1"/>
  <c r="D35" i="15" s="1"/>
  <c r="B34" i="15"/>
  <c r="C34" i="15" s="1"/>
  <c r="D34" i="15" s="1"/>
  <c r="B33" i="15"/>
  <c r="C33" i="15" s="1"/>
  <c r="D33" i="15" s="1"/>
  <c r="B32" i="15"/>
  <c r="C32" i="15" s="1"/>
  <c r="D32" i="15" s="1"/>
  <c r="B31" i="15"/>
  <c r="C31" i="15" s="1"/>
  <c r="D31" i="15" s="1"/>
  <c r="B30" i="15"/>
  <c r="C30" i="15" s="1"/>
  <c r="D30" i="15" s="1"/>
  <c r="B29" i="15"/>
  <c r="C29" i="15" s="1"/>
  <c r="D29" i="15" s="1"/>
  <c r="B28" i="15"/>
  <c r="C28" i="15" s="1"/>
  <c r="D28" i="15" s="1"/>
  <c r="B27" i="15"/>
  <c r="C27" i="15" s="1"/>
  <c r="D27" i="15" s="1"/>
  <c r="B26" i="15"/>
  <c r="C26" i="15" s="1"/>
  <c r="D26" i="15" s="1"/>
  <c r="B25" i="15"/>
  <c r="C25" i="15" s="1"/>
  <c r="D25" i="15" s="1"/>
  <c r="B24" i="15"/>
  <c r="C24" i="15" s="1"/>
  <c r="D24" i="15" s="1"/>
  <c r="B23" i="15"/>
  <c r="C23" i="15" s="1"/>
  <c r="D23" i="15" s="1"/>
  <c r="B22" i="15"/>
  <c r="C22" i="15" s="1"/>
  <c r="D22" i="15" s="1"/>
  <c r="B21" i="15"/>
  <c r="C21" i="15" s="1"/>
  <c r="D21" i="15" s="1"/>
  <c r="B20" i="15"/>
  <c r="C20" i="15" s="1"/>
  <c r="D20" i="15" s="1"/>
  <c r="B19" i="15"/>
  <c r="C19" i="15" s="1"/>
  <c r="D19" i="15" s="1"/>
  <c r="B18" i="15"/>
  <c r="C18" i="15" s="1"/>
  <c r="D18" i="15" s="1"/>
  <c r="B17" i="15"/>
  <c r="C17" i="15" s="1"/>
  <c r="D17" i="15" s="1"/>
  <c r="B16" i="15"/>
  <c r="C16" i="15" s="1"/>
  <c r="D16" i="15" s="1"/>
  <c r="B15" i="15"/>
  <c r="C15" i="15" s="1"/>
  <c r="D15" i="15" s="1"/>
  <c r="B14" i="15"/>
  <c r="C14" i="15" s="1"/>
  <c r="D14" i="15" s="1"/>
  <c r="B13" i="15"/>
  <c r="C13" i="15" s="1"/>
  <c r="D13" i="15" s="1"/>
  <c r="B12" i="15"/>
  <c r="C12" i="15" s="1"/>
  <c r="D12" i="15" s="1"/>
  <c r="B11" i="15"/>
  <c r="C11" i="15" s="1"/>
  <c r="D11" i="15" s="1"/>
  <c r="B10" i="15"/>
  <c r="C10" i="15" s="1"/>
  <c r="D10" i="15" s="1"/>
  <c r="B9" i="15"/>
  <c r="C9" i="15" s="1"/>
  <c r="D9" i="15" s="1"/>
  <c r="B8" i="15"/>
  <c r="C8" i="15" s="1"/>
  <c r="D8" i="15" s="1"/>
  <c r="B7" i="15"/>
  <c r="C7" i="15" s="1"/>
  <c r="D7" i="15" s="1"/>
  <c r="B6" i="15"/>
  <c r="C6" i="15" s="1"/>
  <c r="D6" i="15" s="1"/>
  <c r="B5" i="15"/>
  <c r="C5" i="15" s="1"/>
  <c r="D5" i="15" s="1"/>
  <c r="B4" i="15"/>
  <c r="C4" i="15" s="1"/>
  <c r="D4" i="15" s="1"/>
  <c r="B3" i="15"/>
  <c r="C3" i="15" s="1"/>
  <c r="D3" i="15" s="1"/>
  <c r="B2" i="15"/>
  <c r="C2" i="15" s="1"/>
  <c r="D2" i="15" s="1"/>
  <c r="F6" i="14"/>
  <c r="E6" i="14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AI247" i="4"/>
  <c r="E98" i="17" l="1"/>
  <c r="G166" i="17"/>
  <c r="D166" i="17"/>
  <c r="D68" i="17"/>
  <c r="D96" i="17"/>
  <c r="D112" i="17"/>
  <c r="G158" i="17"/>
  <c r="D158" i="17"/>
  <c r="E169" i="17"/>
  <c r="F169" i="17"/>
  <c r="G148" i="17"/>
  <c r="D148" i="17"/>
  <c r="D80" i="17"/>
  <c r="D104" i="17"/>
  <c r="E106" i="17"/>
  <c r="E108" i="17"/>
  <c r="E114" i="17"/>
  <c r="E122" i="17"/>
  <c r="E124" i="17"/>
  <c r="D152" i="17"/>
  <c r="D59" i="17"/>
  <c r="E152" i="17"/>
  <c r="D66" i="17"/>
  <c r="D51" i="17"/>
  <c r="E116" i="17"/>
  <c r="G181" i="17"/>
  <c r="D183" i="17"/>
  <c r="F36" i="17"/>
  <c r="E36" i="17"/>
  <c r="E42" i="17"/>
  <c r="F42" i="17"/>
  <c r="G174" i="17"/>
  <c r="E174" i="17"/>
  <c r="D174" i="17"/>
  <c r="E50" i="17"/>
  <c r="F50" i="17"/>
  <c r="G156" i="17"/>
  <c r="E156" i="17"/>
  <c r="D156" i="17"/>
  <c r="D23" i="17"/>
  <c r="E23" i="17"/>
  <c r="G162" i="17"/>
  <c r="E162" i="17"/>
  <c r="D162" i="17"/>
  <c r="D25" i="17"/>
  <c r="E25" i="17"/>
  <c r="F44" i="17"/>
  <c r="E44" i="17"/>
  <c r="D21" i="17"/>
  <c r="E21" i="17"/>
  <c r="D19" i="17"/>
  <c r="E19" i="17"/>
  <c r="G29" i="17"/>
  <c r="D35" i="17"/>
  <c r="D74" i="17"/>
  <c r="D76" i="17"/>
  <c r="E84" i="17"/>
  <c r="D120" i="17"/>
  <c r="G150" i="17"/>
  <c r="E150" i="17"/>
  <c r="G154" i="17"/>
  <c r="D154" i="17"/>
  <c r="E161" i="17"/>
  <c r="F161" i="17"/>
  <c r="G170" i="17"/>
  <c r="D170" i="17"/>
  <c r="E180" i="17"/>
  <c r="D43" i="17"/>
  <c r="E52" i="17"/>
  <c r="F58" i="17"/>
  <c r="G67" i="17"/>
  <c r="E82" i="17"/>
  <c r="D90" i="17"/>
  <c r="D92" i="17"/>
  <c r="E100" i="17"/>
  <c r="E148" i="17"/>
  <c r="E158" i="17"/>
  <c r="F165" i="17"/>
  <c r="E166" i="17"/>
  <c r="F182" i="17"/>
  <c r="E173" i="17"/>
  <c r="F173" i="17"/>
  <c r="E3" i="17"/>
  <c r="E5" i="17"/>
  <c r="E7" i="17"/>
  <c r="E9" i="17"/>
  <c r="E11" i="17"/>
  <c r="E13" i="17"/>
  <c r="E15" i="17"/>
  <c r="E17" i="17"/>
  <c r="F34" i="17"/>
  <c r="E60" i="17"/>
  <c r="D150" i="17"/>
  <c r="E154" i="17"/>
  <c r="E170" i="17"/>
  <c r="F4" i="17"/>
  <c r="E4" i="17"/>
  <c r="D4" i="17"/>
  <c r="G4" i="17"/>
  <c r="F10" i="17"/>
  <c r="E10" i="17"/>
  <c r="D10" i="17"/>
  <c r="G10" i="17"/>
  <c r="F14" i="17"/>
  <c r="E14" i="17"/>
  <c r="G14" i="17"/>
  <c r="D14" i="17"/>
  <c r="F18" i="17"/>
  <c r="E18" i="17"/>
  <c r="G18" i="17"/>
  <c r="D18" i="17"/>
  <c r="F22" i="17"/>
  <c r="E22" i="17"/>
  <c r="D22" i="17"/>
  <c r="G22" i="17"/>
  <c r="F24" i="17"/>
  <c r="E24" i="17"/>
  <c r="D24" i="17"/>
  <c r="G24" i="17"/>
  <c r="F8" i="17"/>
  <c r="E8" i="17"/>
  <c r="D8" i="17"/>
  <c r="G8" i="17"/>
  <c r="F2" i="17"/>
  <c r="E2" i="17"/>
  <c r="D2" i="17"/>
  <c r="G2" i="17"/>
  <c r="F6" i="17"/>
  <c r="E6" i="17"/>
  <c r="D6" i="17"/>
  <c r="G6" i="17"/>
  <c r="F12" i="17"/>
  <c r="E12" i="17"/>
  <c r="D12" i="17"/>
  <c r="G12" i="17"/>
  <c r="F16" i="17"/>
  <c r="E16" i="17"/>
  <c r="G16" i="17"/>
  <c r="D16" i="17"/>
  <c r="F20" i="17"/>
  <c r="E20" i="17"/>
  <c r="D20" i="17"/>
  <c r="G20" i="17"/>
  <c r="D26" i="17"/>
  <c r="G26" i="17"/>
  <c r="F26" i="17"/>
  <c r="E26" i="17"/>
  <c r="G28" i="17"/>
  <c r="D32" i="17"/>
  <c r="G32" i="17"/>
  <c r="F41" i="17"/>
  <c r="E41" i="17"/>
  <c r="D48" i="17"/>
  <c r="G48" i="17"/>
  <c r="F57" i="17"/>
  <c r="E57" i="17"/>
  <c r="G70" i="17"/>
  <c r="F70" i="17"/>
  <c r="E70" i="17"/>
  <c r="D70" i="17"/>
  <c r="G132" i="17"/>
  <c r="F132" i="17"/>
  <c r="E132" i="17"/>
  <c r="D132" i="17"/>
  <c r="E157" i="17"/>
  <c r="D157" i="17"/>
  <c r="G157" i="17"/>
  <c r="F157" i="17"/>
  <c r="D186" i="17"/>
  <c r="G186" i="17"/>
  <c r="F186" i="17"/>
  <c r="E186" i="17"/>
  <c r="F3" i="17"/>
  <c r="F5" i="17"/>
  <c r="F7" i="17"/>
  <c r="F9" i="17"/>
  <c r="F11" i="17"/>
  <c r="F13" i="17"/>
  <c r="F15" i="17"/>
  <c r="F17" i="17"/>
  <c r="F19" i="17"/>
  <c r="F21" i="17"/>
  <c r="F23" i="17"/>
  <c r="F25" i="17"/>
  <c r="D27" i="17"/>
  <c r="D30" i="17"/>
  <c r="G30" i="17"/>
  <c r="F31" i="17"/>
  <c r="E31" i="17"/>
  <c r="D38" i="17"/>
  <c r="G38" i="17"/>
  <c r="F39" i="17"/>
  <c r="E39" i="17"/>
  <c r="D41" i="17"/>
  <c r="D46" i="17"/>
  <c r="G46" i="17"/>
  <c r="F47" i="17"/>
  <c r="E47" i="17"/>
  <c r="D54" i="17"/>
  <c r="G54" i="17"/>
  <c r="F55" i="17"/>
  <c r="E55" i="17"/>
  <c r="D57" i="17"/>
  <c r="G62" i="17"/>
  <c r="F62" i="17"/>
  <c r="E62" i="17"/>
  <c r="D62" i="17"/>
  <c r="E69" i="17"/>
  <c r="D69" i="17"/>
  <c r="F69" i="17"/>
  <c r="E71" i="17"/>
  <c r="D71" i="17"/>
  <c r="G71" i="17"/>
  <c r="F71" i="17"/>
  <c r="E73" i="17"/>
  <c r="D73" i="17"/>
  <c r="G73" i="17"/>
  <c r="G78" i="17"/>
  <c r="F78" i="17"/>
  <c r="E78" i="17"/>
  <c r="D78" i="17"/>
  <c r="E81" i="17"/>
  <c r="D81" i="17"/>
  <c r="G81" i="17"/>
  <c r="G86" i="17"/>
  <c r="F86" i="17"/>
  <c r="E86" i="17"/>
  <c r="D86" i="17"/>
  <c r="E89" i="17"/>
  <c r="D89" i="17"/>
  <c r="G89" i="17"/>
  <c r="G94" i="17"/>
  <c r="F94" i="17"/>
  <c r="E94" i="17"/>
  <c r="D94" i="17"/>
  <c r="E97" i="17"/>
  <c r="D97" i="17"/>
  <c r="G97" i="17"/>
  <c r="G102" i="17"/>
  <c r="F102" i="17"/>
  <c r="E102" i="17"/>
  <c r="D102" i="17"/>
  <c r="E105" i="17"/>
  <c r="D105" i="17"/>
  <c r="G105" i="17"/>
  <c r="G110" i="17"/>
  <c r="F110" i="17"/>
  <c r="E110" i="17"/>
  <c r="D110" i="17"/>
  <c r="E113" i="17"/>
  <c r="D113" i="17"/>
  <c r="G113" i="17"/>
  <c r="G118" i="17"/>
  <c r="F118" i="17"/>
  <c r="E118" i="17"/>
  <c r="D118" i="17"/>
  <c r="E121" i="17"/>
  <c r="D121" i="17"/>
  <c r="G121" i="17"/>
  <c r="G126" i="17"/>
  <c r="F126" i="17"/>
  <c r="E126" i="17"/>
  <c r="D126" i="17"/>
  <c r="E129" i="17"/>
  <c r="D129" i="17"/>
  <c r="G129" i="17"/>
  <c r="F129" i="17"/>
  <c r="G140" i="17"/>
  <c r="F140" i="17"/>
  <c r="E140" i="17"/>
  <c r="D140" i="17"/>
  <c r="E171" i="17"/>
  <c r="G171" i="17"/>
  <c r="F171" i="17"/>
  <c r="D171" i="17"/>
  <c r="G176" i="17"/>
  <c r="E176" i="17"/>
  <c r="D176" i="17"/>
  <c r="F176" i="17"/>
  <c r="F33" i="17"/>
  <c r="E33" i="17"/>
  <c r="D40" i="17"/>
  <c r="G40" i="17"/>
  <c r="F49" i="17"/>
  <c r="E49" i="17"/>
  <c r="D56" i="17"/>
  <c r="G56" i="17"/>
  <c r="G64" i="17"/>
  <c r="F64" i="17"/>
  <c r="E64" i="17"/>
  <c r="D178" i="17"/>
  <c r="G178" i="17"/>
  <c r="F178" i="17"/>
  <c r="E178" i="17"/>
  <c r="G3" i="17"/>
  <c r="G5" i="17"/>
  <c r="G7" i="17"/>
  <c r="G9" i="17"/>
  <c r="G11" i="17"/>
  <c r="G13" i="17"/>
  <c r="G15" i="17"/>
  <c r="G17" i="17"/>
  <c r="G19" i="17"/>
  <c r="G21" i="17"/>
  <c r="G23" i="17"/>
  <c r="G25" i="17"/>
  <c r="E27" i="17"/>
  <c r="E28" i="17"/>
  <c r="D29" i="17"/>
  <c r="D31" i="17"/>
  <c r="E32" i="17"/>
  <c r="G33" i="17"/>
  <c r="D36" i="17"/>
  <c r="G36" i="17"/>
  <c r="F37" i="17"/>
  <c r="E37" i="17"/>
  <c r="D39" i="17"/>
  <c r="E40" i="17"/>
  <c r="G41" i="17"/>
  <c r="D44" i="17"/>
  <c r="G44" i="17"/>
  <c r="F45" i="17"/>
  <c r="E45" i="17"/>
  <c r="D47" i="17"/>
  <c r="E48" i="17"/>
  <c r="G49" i="17"/>
  <c r="D52" i="17"/>
  <c r="G52" i="17"/>
  <c r="F53" i="17"/>
  <c r="E53" i="17"/>
  <c r="D55" i="17"/>
  <c r="E56" i="17"/>
  <c r="G57" i="17"/>
  <c r="D60" i="17"/>
  <c r="G60" i="17"/>
  <c r="F61" i="17"/>
  <c r="E61" i="17"/>
  <c r="E63" i="17"/>
  <c r="D63" i="17"/>
  <c r="G63" i="17"/>
  <c r="F63" i="17"/>
  <c r="E65" i="17"/>
  <c r="D65" i="17"/>
  <c r="G65" i="17"/>
  <c r="F73" i="17"/>
  <c r="E75" i="17"/>
  <c r="D75" i="17"/>
  <c r="F75" i="17"/>
  <c r="E79" i="17"/>
  <c r="D79" i="17"/>
  <c r="G79" i="17"/>
  <c r="F79" i="17"/>
  <c r="F81" i="17"/>
  <c r="E83" i="17"/>
  <c r="D83" i="17"/>
  <c r="F83" i="17"/>
  <c r="E87" i="17"/>
  <c r="D87" i="17"/>
  <c r="G87" i="17"/>
  <c r="F87" i="17"/>
  <c r="F89" i="17"/>
  <c r="E91" i="17"/>
  <c r="D91" i="17"/>
  <c r="F91" i="17"/>
  <c r="E95" i="17"/>
  <c r="D95" i="17"/>
  <c r="G95" i="17"/>
  <c r="F95" i="17"/>
  <c r="F97" i="17"/>
  <c r="E99" i="17"/>
  <c r="D99" i="17"/>
  <c r="F99" i="17"/>
  <c r="E103" i="17"/>
  <c r="D103" i="17"/>
  <c r="G103" i="17"/>
  <c r="F103" i="17"/>
  <c r="F105" i="17"/>
  <c r="E107" i="17"/>
  <c r="D107" i="17"/>
  <c r="F107" i="17"/>
  <c r="E111" i="17"/>
  <c r="D111" i="17"/>
  <c r="G111" i="17"/>
  <c r="F111" i="17"/>
  <c r="F113" i="17"/>
  <c r="E115" i="17"/>
  <c r="D115" i="17"/>
  <c r="F115" i="17"/>
  <c r="E119" i="17"/>
  <c r="D119" i="17"/>
  <c r="G119" i="17"/>
  <c r="F119" i="17"/>
  <c r="F121" i="17"/>
  <c r="E123" i="17"/>
  <c r="D123" i="17"/>
  <c r="F123" i="17"/>
  <c r="E127" i="17"/>
  <c r="D127" i="17"/>
  <c r="G127" i="17"/>
  <c r="F127" i="17"/>
  <c r="E137" i="17"/>
  <c r="D137" i="17"/>
  <c r="G137" i="17"/>
  <c r="F137" i="17"/>
  <c r="E149" i="17"/>
  <c r="D149" i="17"/>
  <c r="G149" i="17"/>
  <c r="F149" i="17"/>
  <c r="G27" i="17"/>
  <c r="F28" i="17"/>
  <c r="E29" i="17"/>
  <c r="E30" i="17"/>
  <c r="G31" i="17"/>
  <c r="F32" i="17"/>
  <c r="D34" i="17"/>
  <c r="G34" i="17"/>
  <c r="F35" i="17"/>
  <c r="E35" i="17"/>
  <c r="D37" i="17"/>
  <c r="E38" i="17"/>
  <c r="G39" i="17"/>
  <c r="F40" i="17"/>
  <c r="D42" i="17"/>
  <c r="G42" i="17"/>
  <c r="F43" i="17"/>
  <c r="E43" i="17"/>
  <c r="D45" i="17"/>
  <c r="E46" i="17"/>
  <c r="G47" i="17"/>
  <c r="F48" i="17"/>
  <c r="D50" i="17"/>
  <c r="G50" i="17"/>
  <c r="F51" i="17"/>
  <c r="E51" i="17"/>
  <c r="D53" i="17"/>
  <c r="E54" i="17"/>
  <c r="G55" i="17"/>
  <c r="F56" i="17"/>
  <c r="D58" i="17"/>
  <c r="G58" i="17"/>
  <c r="F59" i="17"/>
  <c r="E59" i="17"/>
  <c r="D61" i="17"/>
  <c r="F65" i="17"/>
  <c r="E67" i="17"/>
  <c r="D67" i="17"/>
  <c r="G69" i="17"/>
  <c r="G72" i="17"/>
  <c r="F72" i="17"/>
  <c r="E72" i="17"/>
  <c r="G75" i="17"/>
  <c r="E77" i="17"/>
  <c r="D77" i="17"/>
  <c r="G77" i="17"/>
  <c r="F77" i="17"/>
  <c r="G83" i="17"/>
  <c r="E85" i="17"/>
  <c r="D85" i="17"/>
  <c r="G85" i="17"/>
  <c r="F85" i="17"/>
  <c r="G91" i="17"/>
  <c r="E93" i="17"/>
  <c r="D93" i="17"/>
  <c r="G93" i="17"/>
  <c r="F93" i="17"/>
  <c r="G99" i="17"/>
  <c r="E101" i="17"/>
  <c r="D101" i="17"/>
  <c r="G101" i="17"/>
  <c r="F101" i="17"/>
  <c r="G107" i="17"/>
  <c r="E109" i="17"/>
  <c r="D109" i="17"/>
  <c r="G109" i="17"/>
  <c r="F109" i="17"/>
  <c r="G115" i="17"/>
  <c r="E117" i="17"/>
  <c r="D117" i="17"/>
  <c r="G117" i="17"/>
  <c r="F117" i="17"/>
  <c r="G123" i="17"/>
  <c r="E125" i="17"/>
  <c r="D125" i="17"/>
  <c r="G125" i="17"/>
  <c r="F125" i="17"/>
  <c r="E145" i="17"/>
  <c r="D145" i="17"/>
  <c r="G145" i="17"/>
  <c r="F145" i="17"/>
  <c r="G160" i="17"/>
  <c r="E160" i="17"/>
  <c r="D160" i="17"/>
  <c r="F160" i="17"/>
  <c r="G68" i="17"/>
  <c r="F68" i="17"/>
  <c r="G76" i="17"/>
  <c r="F76" i="17"/>
  <c r="G84" i="17"/>
  <c r="F84" i="17"/>
  <c r="G92" i="17"/>
  <c r="F92" i="17"/>
  <c r="G100" i="17"/>
  <c r="F100" i="17"/>
  <c r="G108" i="17"/>
  <c r="F108" i="17"/>
  <c r="G116" i="17"/>
  <c r="F116" i="17"/>
  <c r="G124" i="17"/>
  <c r="F124" i="17"/>
  <c r="E131" i="17"/>
  <c r="D131" i="17"/>
  <c r="G131" i="17"/>
  <c r="G134" i="17"/>
  <c r="F134" i="17"/>
  <c r="E134" i="17"/>
  <c r="E139" i="17"/>
  <c r="D139" i="17"/>
  <c r="G139" i="17"/>
  <c r="G142" i="17"/>
  <c r="F142" i="17"/>
  <c r="E142" i="17"/>
  <c r="E147" i="17"/>
  <c r="D147" i="17"/>
  <c r="G147" i="17"/>
  <c r="E155" i="17"/>
  <c r="D155" i="17"/>
  <c r="G155" i="17"/>
  <c r="E167" i="17"/>
  <c r="G167" i="17"/>
  <c r="F167" i="17"/>
  <c r="D167" i="17"/>
  <c r="G172" i="17"/>
  <c r="E172" i="17"/>
  <c r="D172" i="17"/>
  <c r="G66" i="17"/>
  <c r="F66" i="17"/>
  <c r="G74" i="17"/>
  <c r="F74" i="17"/>
  <c r="G82" i="17"/>
  <c r="F82" i="17"/>
  <c r="G90" i="17"/>
  <c r="F90" i="17"/>
  <c r="G98" i="17"/>
  <c r="F98" i="17"/>
  <c r="G106" i="17"/>
  <c r="F106" i="17"/>
  <c r="G114" i="17"/>
  <c r="F114" i="17"/>
  <c r="G122" i="17"/>
  <c r="F122" i="17"/>
  <c r="G128" i="17"/>
  <c r="F128" i="17"/>
  <c r="E128" i="17"/>
  <c r="E133" i="17"/>
  <c r="D133" i="17"/>
  <c r="G133" i="17"/>
  <c r="G136" i="17"/>
  <c r="F136" i="17"/>
  <c r="E136" i="17"/>
  <c r="E141" i="17"/>
  <c r="D141" i="17"/>
  <c r="G141" i="17"/>
  <c r="G144" i="17"/>
  <c r="F144" i="17"/>
  <c r="E144" i="17"/>
  <c r="E153" i="17"/>
  <c r="D153" i="17"/>
  <c r="G153" i="17"/>
  <c r="E163" i="17"/>
  <c r="G163" i="17"/>
  <c r="F163" i="17"/>
  <c r="D163" i="17"/>
  <c r="G168" i="17"/>
  <c r="E168" i="17"/>
  <c r="D168" i="17"/>
  <c r="F179" i="17"/>
  <c r="E179" i="17"/>
  <c r="G179" i="17"/>
  <c r="D179" i="17"/>
  <c r="F187" i="17"/>
  <c r="E187" i="17"/>
  <c r="G187" i="17"/>
  <c r="D187" i="17"/>
  <c r="G80" i="17"/>
  <c r="F80" i="17"/>
  <c r="G88" i="17"/>
  <c r="F88" i="17"/>
  <c r="G96" i="17"/>
  <c r="F96" i="17"/>
  <c r="G104" i="17"/>
  <c r="F104" i="17"/>
  <c r="G112" i="17"/>
  <c r="F112" i="17"/>
  <c r="G120" i="17"/>
  <c r="F120" i="17"/>
  <c r="G130" i="17"/>
  <c r="F130" i="17"/>
  <c r="E130" i="17"/>
  <c r="E135" i="17"/>
  <c r="D135" i="17"/>
  <c r="G135" i="17"/>
  <c r="G138" i="17"/>
  <c r="F138" i="17"/>
  <c r="E138" i="17"/>
  <c r="E143" i="17"/>
  <c r="D143" i="17"/>
  <c r="G143" i="17"/>
  <c r="G146" i="17"/>
  <c r="F146" i="17"/>
  <c r="E146" i="17"/>
  <c r="E151" i="17"/>
  <c r="D151" i="17"/>
  <c r="G151" i="17"/>
  <c r="E159" i="17"/>
  <c r="G159" i="17"/>
  <c r="F159" i="17"/>
  <c r="D159" i="17"/>
  <c r="G164" i="17"/>
  <c r="E164" i="17"/>
  <c r="D164" i="17"/>
  <c r="E175" i="17"/>
  <c r="G175" i="17"/>
  <c r="F175" i="17"/>
  <c r="D175" i="17"/>
  <c r="G161" i="17"/>
  <c r="G165" i="17"/>
  <c r="G169" i="17"/>
  <c r="G173" i="17"/>
  <c r="F177" i="17"/>
  <c r="E177" i="17"/>
  <c r="D184" i="17"/>
  <c r="G184" i="17"/>
  <c r="F185" i="17"/>
  <c r="E185" i="17"/>
  <c r="F148" i="17"/>
  <c r="F150" i="17"/>
  <c r="F152" i="17"/>
  <c r="F154" i="17"/>
  <c r="F156" i="17"/>
  <c r="F158" i="17"/>
  <c r="F162" i="17"/>
  <c r="F166" i="17"/>
  <c r="F170" i="17"/>
  <c r="F174" i="17"/>
  <c r="D177" i="17"/>
  <c r="D182" i="17"/>
  <c r="G182" i="17"/>
  <c r="F183" i="17"/>
  <c r="E183" i="17"/>
  <c r="D185" i="17"/>
  <c r="D161" i="17"/>
  <c r="D165" i="17"/>
  <c r="D169" i="17"/>
  <c r="D173" i="17"/>
  <c r="G177" i="17"/>
  <c r="D180" i="17"/>
  <c r="G180" i="17"/>
  <c r="F181" i="17"/>
  <c r="E181" i="17"/>
  <c r="E184" i="17"/>
  <c r="G185" i="17"/>
  <c r="AF19" i="4"/>
  <c r="AF24" i="4"/>
  <c r="AF28" i="4"/>
  <c r="AI74" i="4"/>
  <c r="AI76" i="4"/>
  <c r="AI79" i="4"/>
  <c r="AI81" i="4"/>
  <c r="AI83" i="4"/>
  <c r="AF129" i="4"/>
  <c r="AF133" i="4"/>
  <c r="AF138" i="4"/>
  <c r="AI185" i="4"/>
  <c r="AI187" i="4"/>
  <c r="AI192" i="4"/>
  <c r="AF237" i="4"/>
  <c r="AF244" i="4"/>
  <c r="AF248" i="4"/>
  <c r="AI17" i="4"/>
  <c r="AI19" i="4"/>
  <c r="AI21" i="4"/>
  <c r="AI24" i="4"/>
  <c r="AI26" i="4"/>
  <c r="AI28" i="4"/>
  <c r="AF73" i="4"/>
  <c r="AF77" i="4"/>
  <c r="AF82" i="4"/>
  <c r="AI129" i="4"/>
  <c r="AI133" i="4"/>
  <c r="AI138" i="4"/>
  <c r="AF182" i="4"/>
  <c r="AF186" i="4"/>
  <c r="AF193" i="4"/>
  <c r="AI239" i="4"/>
  <c r="AI244" i="4"/>
  <c r="AI248" i="4"/>
  <c r="AF18" i="4"/>
  <c r="AF20" i="4"/>
  <c r="AF22" i="4"/>
  <c r="AF25" i="4"/>
  <c r="AF27" i="4"/>
  <c r="AI73" i="4"/>
  <c r="AI75" i="4"/>
  <c r="AI77" i="4"/>
  <c r="AI80" i="4"/>
  <c r="AI82" i="4"/>
  <c r="AF128" i="4"/>
  <c r="AF130" i="4"/>
  <c r="AF132" i="4"/>
  <c r="AF135" i="4"/>
  <c r="AF137" i="4"/>
  <c r="AF139" i="4"/>
  <c r="AI182" i="4"/>
  <c r="AI184" i="4"/>
  <c r="AI186" i="4"/>
  <c r="AI189" i="4"/>
  <c r="AI191" i="4"/>
  <c r="AI193" i="4"/>
  <c r="AF238" i="4"/>
  <c r="AF240" i="4"/>
  <c r="AF242" i="4"/>
  <c r="AF245" i="4"/>
  <c r="AF247" i="4"/>
  <c r="AF17" i="4"/>
  <c r="AF21" i="4"/>
  <c r="AF26" i="4"/>
  <c r="AI72" i="4"/>
  <c r="AF131" i="4"/>
  <c r="AF136" i="4"/>
  <c r="AI183" i="4"/>
  <c r="AI190" i="4"/>
  <c r="AF239" i="4"/>
  <c r="AF241" i="4"/>
  <c r="AF246" i="4"/>
  <c r="AF75" i="4"/>
  <c r="AF80" i="4"/>
  <c r="AI131" i="4"/>
  <c r="AI136" i="4"/>
  <c r="AF184" i="4"/>
  <c r="AF189" i="4"/>
  <c r="AF191" i="4"/>
  <c r="AI237" i="4"/>
  <c r="AI241" i="4"/>
  <c r="AI246" i="4"/>
  <c r="AI18" i="4"/>
  <c r="AI20" i="4"/>
  <c r="AI22" i="4"/>
  <c r="AI25" i="4"/>
  <c r="AI27" i="4"/>
  <c r="AF72" i="4"/>
  <c r="AF74" i="4"/>
  <c r="AF76" i="4"/>
  <c r="AF79" i="4"/>
  <c r="AF81" i="4"/>
  <c r="AF83" i="4"/>
  <c r="AI128" i="4"/>
  <c r="AI130" i="4"/>
  <c r="AI132" i="4"/>
  <c r="AI135" i="4"/>
  <c r="AI137" i="4"/>
  <c r="AI139" i="4"/>
  <c r="AF183" i="4"/>
  <c r="AF185" i="4"/>
  <c r="AF187" i="4"/>
  <c r="AF190" i="4"/>
  <c r="AF192" i="4"/>
  <c r="AI238" i="4"/>
  <c r="AI240" i="4"/>
  <c r="AI242" i="4"/>
  <c r="AI245" i="4"/>
</calcChain>
</file>

<file path=xl/sharedStrings.xml><?xml version="1.0" encoding="utf-8"?>
<sst xmlns="http://schemas.openxmlformats.org/spreadsheetml/2006/main" count="1344" uniqueCount="314">
  <si>
    <t>NO. DE SOLICITUD:</t>
  </si>
  <si>
    <t>UBICACIÓN:</t>
  </si>
  <si>
    <t>NA</t>
  </si>
  <si>
    <t>RECEPCIÓN:</t>
  </si>
  <si>
    <t>PREDIO:</t>
  </si>
  <si>
    <t>NOMBRE DEL CLIENTE:</t>
  </si>
  <si>
    <t>CULTIVO ANTERIOR:</t>
  </si>
  <si>
    <t>EMPRESA:</t>
  </si>
  <si>
    <t>CULTIVO ESTABLECIDO/ER:</t>
  </si>
  <si>
    <t>NO. DE MUESTRAS:</t>
  </si>
  <si>
    <t>ETAPA:</t>
  </si>
  <si>
    <t>FOLIO:</t>
  </si>
  <si>
    <t>MUESTRA DEL CLIENTE</t>
  </si>
  <si>
    <t>MUESTRA DE LABORATORIO</t>
  </si>
  <si>
    <t>NO. REPORTE</t>
  </si>
  <si>
    <t>TIPO DE RIEGO:</t>
  </si>
  <si>
    <t>FECHA DE ANÁLISIS:</t>
  </si>
  <si>
    <t>FECHA DE RESULTADOS:</t>
  </si>
  <si>
    <t>FECHA DE CAPTURA:</t>
  </si>
  <si>
    <t>RECOMENDACION:</t>
  </si>
  <si>
    <t>etapa/cultivo</t>
  </si>
  <si>
    <t>PLANTAS</t>
  </si>
  <si>
    <t>Macronutrientes</t>
  </si>
  <si>
    <t>Nitrógeno total</t>
  </si>
  <si>
    <t>NORMAILIDAD</t>
  </si>
  <si>
    <t>Boro</t>
  </si>
  <si>
    <t>Fósforo (P) aprovechable</t>
  </si>
  <si>
    <t>Nitrógeno nítrico (N-NO3)</t>
  </si>
  <si>
    <t>Absorción atómica</t>
  </si>
  <si>
    <t>Emisión de flama</t>
  </si>
  <si>
    <t>NO. LAB</t>
  </si>
  <si>
    <t>Cu</t>
  </si>
  <si>
    <t>Mn</t>
  </si>
  <si>
    <t>Fe</t>
  </si>
  <si>
    <t>Zn</t>
  </si>
  <si>
    <t>B (%T)</t>
  </si>
  <si>
    <t>Peso (g)</t>
  </si>
  <si>
    <t>Alícuota  (ml)</t>
  </si>
  <si>
    <t>Transmitancia (%)</t>
  </si>
  <si>
    <t>Muestra (gr)</t>
  </si>
  <si>
    <t>HCL gastado</t>
  </si>
  <si>
    <t>Dilución1 (ml)</t>
  </si>
  <si>
    <t>Alícuota (ml)</t>
  </si>
  <si>
    <t>Dilución2 (ml)</t>
  </si>
  <si>
    <r>
      <t>(N-NO</t>
    </r>
    <r>
      <rPr>
        <b/>
        <vertAlign val="subscript"/>
        <sz val="11"/>
        <color indexed="8"/>
        <rFont val="Calibri"/>
        <family val="2"/>
      </rPr>
      <t>3</t>
    </r>
    <r>
      <rPr>
        <b/>
        <sz val="11"/>
        <color indexed="8"/>
        <rFont val="Calibri"/>
        <family val="2"/>
      </rPr>
      <t>) (%T)</t>
    </r>
  </si>
  <si>
    <t>Ca (mg/L)</t>
  </si>
  <si>
    <t>Mg (mg/L)</t>
  </si>
  <si>
    <t>Factor de dilución 1</t>
  </si>
  <si>
    <t>Factor de dilución 2</t>
  </si>
  <si>
    <t>Muestra (mg/L)</t>
  </si>
  <si>
    <t>Na (ppm)</t>
  </si>
  <si>
    <t>Muestra (ml)</t>
  </si>
  <si>
    <t>K (ppm)</t>
  </si>
  <si>
    <t>0 (BLANCO)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</si>
  <si>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</si>
  <si>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</si>
  <si>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</si>
  <si>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</si>
  <si>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</si>
  <si>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</si>
  <si>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</si>
  <si>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</si>
  <si>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</si>
  <si>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</si>
  <si>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</si>
  <si>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</si>
  <si>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</si>
  <si>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</si>
  <si>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</si>
  <si>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</si>
  <si>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</si>
  <si>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</si>
  <si>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</si>
  <si>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3.2.22</t>
  </si>
  <si>
    <t>3.2.23</t>
  </si>
  <si>
    <t>3.2.24</t>
  </si>
  <si>
    <t>3.2.25</t>
  </si>
  <si>
    <t>3.2.26</t>
  </si>
  <si>
    <t>3.2.27</t>
  </si>
  <si>
    <t>3.2.28</t>
  </si>
  <si>
    <t>3.2.29</t>
  </si>
  <si>
    <t>3.2.30</t>
  </si>
  <si>
    <t>3.2.31</t>
  </si>
  <si>
    <t>3.2.32</t>
  </si>
  <si>
    <t>%T</t>
  </si>
  <si>
    <t>Absorbancia</t>
  </si>
  <si>
    <t>PPM_BORO_curva</t>
  </si>
  <si>
    <t>ppm_BORO</t>
  </si>
  <si>
    <t>ml de sol. 10ppm</t>
  </si>
  <si>
    <t>concentracion de Boro</t>
  </si>
  <si>
    <t>concentracion de Boro ajustada</t>
  </si>
  <si>
    <t xml:space="preserve">absorbancia </t>
  </si>
  <si>
    <t>x=</t>
  </si>
  <si>
    <t>y-</t>
  </si>
  <si>
    <t>%TRANS_N-NO3</t>
  </si>
  <si>
    <t>PPM_N-NO3</t>
  </si>
  <si>
    <t xml:space="preserve">alicuota de 2ml </t>
  </si>
  <si>
    <t xml:space="preserve">alicuota de 3ml </t>
  </si>
  <si>
    <t xml:space="preserve">alicuota de 4ml </t>
  </si>
  <si>
    <t xml:space="preserve">alicuota de 5ml </t>
  </si>
  <si>
    <t xml:space="preserve">x= </t>
  </si>
  <si>
    <t>2ml</t>
  </si>
  <si>
    <t>3ml</t>
  </si>
  <si>
    <t>4ml</t>
  </si>
  <si>
    <t>5ml</t>
  </si>
  <si>
    <t>%TRANS_P</t>
  </si>
  <si>
    <t>PPM_CURVA_P</t>
  </si>
  <si>
    <t>% P</t>
  </si>
  <si>
    <t>y+</t>
  </si>
  <si>
    <t>Fertilizantes Tepeyac S.A. de C.V</t>
  </si>
  <si>
    <t>Pagina:</t>
  </si>
  <si>
    <t>1 de</t>
  </si>
  <si>
    <t>Laboratorio de Análisis de Suelo, Agua, Planta y Fertilizante</t>
  </si>
  <si>
    <t>Cd. Obregón, Sonora. CP. 85065</t>
  </si>
  <si>
    <t>Fecha:</t>
  </si>
  <si>
    <t xml:space="preserve">Blvd. Las Torres y Circuito Interior No. 810. Parque Industrial. </t>
  </si>
  <si>
    <t>Tel: (644)-169-9209, (644)-169-8789, Ext. 2</t>
  </si>
  <si>
    <t>Reporte No:</t>
  </si>
  <si>
    <t>www.ftepeyac.com.mx</t>
  </si>
  <si>
    <t>INFORME DE RESULTADOS DE ANÁLISIS DE PLANTA</t>
  </si>
  <si>
    <t>Cliente:</t>
  </si>
  <si>
    <t>Predio:</t>
  </si>
  <si>
    <t>Cultivo anterior:</t>
  </si>
  <si>
    <t>Empresa:</t>
  </si>
  <si>
    <t>Riego:</t>
  </si>
  <si>
    <t>Cultivo actual:</t>
  </si>
  <si>
    <t>Ubicación:</t>
  </si>
  <si>
    <t>Etapa:</t>
  </si>
  <si>
    <t>Recepción:</t>
  </si>
  <si>
    <t>No. Laboratorio</t>
  </si>
  <si>
    <t xml:space="preserve"> ID muestra</t>
  </si>
  <si>
    <t>ELEMENTOS MAYORES</t>
  </si>
  <si>
    <t>UNIDADES</t>
  </si>
  <si>
    <t xml:space="preserve">RESULTADOS </t>
  </si>
  <si>
    <t>REFERENCIAS</t>
  </si>
  <si>
    <t>Nitrógeno total (N)</t>
  </si>
  <si>
    <t>%</t>
  </si>
  <si>
    <t>a</t>
  </si>
  <si>
    <t>Calcio (Ca)</t>
  </si>
  <si>
    <t>Magnesio (Mg)</t>
  </si>
  <si>
    <t>Potasio (K)</t>
  </si>
  <si>
    <t>Fosforo (P)</t>
  </si>
  <si>
    <t>ppm</t>
  </si>
  <si>
    <t>ELEMENTOS MENORES</t>
  </si>
  <si>
    <t>Hierro (Fe)</t>
  </si>
  <si>
    <t>Manganeso (Mn)</t>
  </si>
  <si>
    <t>Zinc (Zn)</t>
  </si>
  <si>
    <t>Cobre (Cu)</t>
  </si>
  <si>
    <t>Boro (B)</t>
  </si>
  <si>
    <t>INTERPRETACIÓN Y RECOMENDACIÓN</t>
  </si>
  <si>
    <t>Ing. María Mónica Duarte Lobo</t>
  </si>
  <si>
    <r>
      <t>Nitratos (NO</t>
    </r>
    <r>
      <rPr>
        <sz val="10"/>
        <color theme="1"/>
        <rFont val="Calibri"/>
        <family val="2"/>
      </rPr>
      <t>₃</t>
    </r>
    <r>
      <rPr>
        <sz val="10"/>
        <color theme="1"/>
        <rFont val="Arial"/>
        <family val="2"/>
      </rPr>
      <t>)</t>
    </r>
  </si>
  <si>
    <t>4 de</t>
  </si>
  <si>
    <t>5 de</t>
  </si>
  <si>
    <t>cultivo/etapa</t>
  </si>
  <si>
    <r>
      <t>Nitratos (NO</t>
    </r>
    <r>
      <rPr>
        <sz val="12"/>
        <color theme="1"/>
        <rFont val="Calibri"/>
        <family val="2"/>
      </rPr>
      <t>₃</t>
    </r>
    <r>
      <rPr>
        <sz val="12"/>
        <color theme="1"/>
        <rFont val="Arial"/>
        <family val="2"/>
      </rPr>
      <t>)</t>
    </r>
  </si>
  <si>
    <t>Fierro (Fe)</t>
  </si>
  <si>
    <t>Agave/sin etapa</t>
  </si>
  <si>
    <t>Agostadero/sin etapa</t>
  </si>
  <si>
    <t>Aguacate/Hojas de 5-7 meses</t>
  </si>
  <si>
    <t>Ajonjoli/Vegetativo</t>
  </si>
  <si>
    <t>Albaca/sin etapa</t>
  </si>
  <si>
    <t>Albahaca/Desarrollo</t>
  </si>
  <si>
    <t>Alcachofa/sin etapa</t>
  </si>
  <si>
    <t>Alfalfa/Antes de floración</t>
  </si>
  <si>
    <t>Algodón/Floracion</t>
  </si>
  <si>
    <t>Algodón/Primeros cuadros</t>
  </si>
  <si>
    <t>Arandano/sin etapa</t>
  </si>
  <si>
    <t>Arboles maderables/sin etapa</t>
  </si>
  <si>
    <t>Blue berry/Desarrollo</t>
  </si>
  <si>
    <t>Brocoli/Inicio cabezuelas</t>
  </si>
  <si>
    <t>calabaza cabocha/sin etapa</t>
  </si>
  <si>
    <t>Calabaza/Floración producción</t>
  </si>
  <si>
    <t>Campo de golf/sin etapa</t>
  </si>
  <si>
    <t>Cartamo/Des veg floración</t>
  </si>
  <si>
    <t>Cebolla /1/2 de crecimiento de madurez</t>
  </si>
  <si>
    <t>Cebolla/Bulbo</t>
  </si>
  <si>
    <t>Cebolla/des veg</t>
  </si>
  <si>
    <t>Cesped/sin etapa</t>
  </si>
  <si>
    <t>Chicharo/Floracion chicharos</t>
  </si>
  <si>
    <t>Chicharo/Producción de chicharos</t>
  </si>
  <si>
    <t>Chile ancho/sin etapa</t>
  </si>
  <si>
    <t>Chile cayenne/Des veg-flor</t>
  </si>
  <si>
    <t>Chile cayenne/Fruct - cosecha</t>
  </si>
  <si>
    <t>Chile habanero/Floracion</t>
  </si>
  <si>
    <t>Chile pace/sin etapa</t>
  </si>
  <si>
    <t>Chile poblano/Des vef - flor</t>
  </si>
  <si>
    <t>Chile poblano/Peq frutus cosecha</t>
  </si>
  <si>
    <t>Chile verde anaheim/Floracion-prod</t>
  </si>
  <si>
    <t>Chile/Flor inicio frut</t>
  </si>
  <si>
    <t>Chile/Floracion fructificacion</t>
  </si>
  <si>
    <t>Chile/Fructi cosecha</t>
  </si>
  <si>
    <t>Chile/Fructificacion cosecha</t>
  </si>
  <si>
    <t>Chile/Pequenos frutos cosecha</t>
  </si>
  <si>
    <t>Citricos/sin etapa</t>
  </si>
  <si>
    <t>Descanso/sin etapa</t>
  </si>
  <si>
    <t>Esparrago/Desarrollo vegetativo julio</t>
  </si>
  <si>
    <t>Frijol/Floración - inicio vainas</t>
  </si>
  <si>
    <t>Garbanzo/Des veg-floracion</t>
  </si>
  <si>
    <t>Garbanzo/Desarrollo</t>
  </si>
  <si>
    <t>Granada/Desarrollo</t>
  </si>
  <si>
    <t>Higuerilla/sin etapa</t>
  </si>
  <si>
    <t>Hortalizas/sin etapa</t>
  </si>
  <si>
    <t>Jalapeno Mitla/sin etapa</t>
  </si>
  <si>
    <t>Jalapeño dulce/Inicio flor</t>
  </si>
  <si>
    <t>Jalapeño dulce/Peq frutos cosechas</t>
  </si>
  <si>
    <t>Jatropha curcas pinon/sin etapa</t>
  </si>
  <si>
    <t>Limón/Brotes vegetativos</t>
  </si>
  <si>
    <t>Limon/Ramas 5-7 meses de desarrollo</t>
  </si>
  <si>
    <t>Limón/Ramas 5-7 meses de desarrollo</t>
  </si>
  <si>
    <t>Maíz dulce/30-50 cm de altura</t>
  </si>
  <si>
    <t>Maíz dulce/Fin de jilote</t>
  </si>
  <si>
    <t>Maíz dulce/Inicio espigamiento</t>
  </si>
  <si>
    <t>Maíz dulce/Plantula espigamiento</t>
  </si>
  <si>
    <t>Maíz dulce/Pleno espigamiento</t>
  </si>
  <si>
    <t>Maíz/Antes del espigamiento</t>
  </si>
  <si>
    <t>Maíz/Jilote</t>
  </si>
  <si>
    <t>Maíz/Plantas de 30 cm de alto</t>
  </si>
  <si>
    <t>Malanga/sin etapa</t>
  </si>
  <si>
    <t>Mandarina/Hojas ramas no fructiferas</t>
  </si>
  <si>
    <t>Mango/Hojas mas recientes completas</t>
  </si>
  <si>
    <t>Manzana/sin etapa</t>
  </si>
  <si>
    <t>Marfalfa/Corte</t>
  </si>
  <si>
    <t>Melón honeydew/Flora -peq frutos</t>
  </si>
  <si>
    <t>Melón honeydew/Peq frutus cosecha</t>
  </si>
  <si>
    <t>Melon/Inicio floracion a pequeno fruto</t>
  </si>
  <si>
    <t>Melon/Pequenos frutos a cosecha</t>
  </si>
  <si>
    <t>Mezquite/sin etapa</t>
  </si>
  <si>
    <t>Molucella/sin etapa</t>
  </si>
  <si>
    <t>Napa/sin etapa</t>
  </si>
  <si>
    <t xml:space="preserve">Naranaja/Hojas detras del fruto (5-7) meses </t>
  </si>
  <si>
    <t>Naranja/Hojas detras del frutu de 5-7 meses</t>
  </si>
  <si>
    <t>Naranja/Ramas no fructiferas</t>
  </si>
  <si>
    <t>Noche buena/sin etapa</t>
  </si>
  <si>
    <t>Nogal/Desarrollo</t>
  </si>
  <si>
    <t>Nogal/Hojas maduras de ramas vegetativas</t>
  </si>
  <si>
    <t>Nogal/Inicio floracion-fruct</t>
  </si>
  <si>
    <t>Ornamentales/sin etapa</t>
  </si>
  <si>
    <t>Palma datilera/Des, y fruct</t>
  </si>
  <si>
    <t>Papa/inicio tuber. A. tuberculos</t>
  </si>
  <si>
    <t>Papa/Planta de 30cm de altura</t>
  </si>
  <si>
    <t>Papa/Plantas menor que 30</t>
  </si>
  <si>
    <t>Papa/tuberizacion 1/2 tuberculo</t>
  </si>
  <si>
    <t>Pasto/sin etapa</t>
  </si>
  <si>
    <t>Pepino europeo/Flor-fructificacion</t>
  </si>
  <si>
    <t xml:space="preserve">Pepino/Flor-peq.frutos </t>
  </si>
  <si>
    <t>Pepino/Pequeno frutos a cosecha</t>
  </si>
  <si>
    <t>Pimiento Bell Pepper/Floracion-inicio fructificacion</t>
  </si>
  <si>
    <t>Pimiento Bell Pepper/Fructificacion cosecha</t>
  </si>
  <si>
    <t>Pimiento/Floracion-inicio fructificacion</t>
  </si>
  <si>
    <t>Pino/sin etapa</t>
  </si>
  <si>
    <t>Piña/sin etapa</t>
  </si>
  <si>
    <t>Praderas/sin etapa</t>
  </si>
  <si>
    <t>Remolacha/Desarollo</t>
  </si>
  <si>
    <t>Sandia/Floracion peq frutos</t>
  </si>
  <si>
    <t>Sandía/Frutos pequenos cosecha</t>
  </si>
  <si>
    <t>Sandia/Pequenos frutos a cosecha</t>
  </si>
  <si>
    <t>Sesbania/sin etapa</t>
  </si>
  <si>
    <t>Sorgo dulce/sin etapa</t>
  </si>
  <si>
    <t>Sorgo/Inicio floración</t>
  </si>
  <si>
    <t>Sorgo/Plantas de 30 cm</t>
  </si>
  <si>
    <t>Soya/Desarrollada</t>
  </si>
  <si>
    <t>Tangelo/Ramas e 5-7 meses</t>
  </si>
  <si>
    <t>Terreno nuevo/sin etapa</t>
  </si>
  <si>
    <t>Tomate saladez/Florac. Fructificacion</t>
  </si>
  <si>
    <t>Tomate/6 racimo florar</t>
  </si>
  <si>
    <t>Tomate/Cuarto racimo florar</t>
  </si>
  <si>
    <t>Tomate/Primer racimo florar</t>
  </si>
  <si>
    <t>Tomate/Quinto racimo florar</t>
  </si>
  <si>
    <t>Tomate/Segundo racimo florar</t>
  </si>
  <si>
    <t>Tomate/tercer racimo florar</t>
  </si>
  <si>
    <t>Tomatillo/Des.veg-floración</t>
  </si>
  <si>
    <t>Tomatillo/Floración cosecha</t>
  </si>
  <si>
    <t>Tomatillo/Floracion-Fructificacion</t>
  </si>
  <si>
    <t>Toronja/Ramas 5-7 meses de desarrollo</t>
  </si>
  <si>
    <t>Toronja/Sin fruto</t>
  </si>
  <si>
    <t>Trigo/Encañe</t>
  </si>
  <si>
    <t>Trigo/Floración espigamiento</t>
  </si>
  <si>
    <t>Trigo/hoja bandera</t>
  </si>
  <si>
    <t>Trigo/Macollamiento</t>
  </si>
  <si>
    <t>VID/fructificacion</t>
  </si>
  <si>
    <t>VID/plena floracion</t>
  </si>
  <si>
    <t>Solicitud:</t>
  </si>
  <si>
    <t>2 de</t>
  </si>
  <si>
    <t>3 de</t>
  </si>
  <si>
    <t>Higo/Parte media del crecimiento del año</t>
  </si>
  <si>
    <t>RESULTADOS</t>
  </si>
  <si>
    <t>Codigo:</t>
  </si>
  <si>
    <t>RRP-FT-16</t>
  </si>
  <si>
    <r>
      <t>Nitrógeno (N - NO</t>
    </r>
    <r>
      <rPr>
        <sz val="9"/>
        <color theme="1"/>
        <rFont val="Calibri"/>
        <family val="2"/>
      </rPr>
      <t>₃</t>
    </r>
    <r>
      <rPr>
        <sz val="9"/>
        <color theme="1"/>
        <rFont val="Arial"/>
        <family val="2"/>
      </rPr>
      <t>)</t>
    </r>
  </si>
  <si>
    <r>
      <t>Nitratos (NO</t>
    </r>
    <r>
      <rPr>
        <sz val="9"/>
        <color theme="1"/>
        <rFont val="Calibri"/>
        <family val="2"/>
      </rPr>
      <t>₃</t>
    </r>
    <r>
      <rPr>
        <sz val="9"/>
        <color theme="1"/>
        <rFont val="Arial"/>
        <family val="2"/>
      </rPr>
      <t>)</t>
    </r>
  </si>
  <si>
    <t>*Cualquier duda o consulta respecto a la interpretacion de resultados y/o recomendación, comunicarse a los telefonos de contacto del laboratorio. (recuadro superior del informe)</t>
  </si>
  <si>
    <t xml:space="preserve">VID/hojas enteras mitad o final de verano </t>
  </si>
  <si>
    <t>2025-0482</t>
  </si>
  <si>
    <t xml:space="preserve">EL CAUDILLO </t>
  </si>
  <si>
    <t xml:space="preserve">50 HAS 2012 NORTE </t>
  </si>
  <si>
    <t xml:space="preserve">50 HAS 2012 SUR </t>
  </si>
  <si>
    <t xml:space="preserve">25 HAS 2014 SUR </t>
  </si>
  <si>
    <t xml:space="preserve">25 HAS 2014 NORTE </t>
  </si>
  <si>
    <t xml:space="preserve">25 HAS 2015 NORTE </t>
  </si>
  <si>
    <t>25 HAS 2015 SUR</t>
  </si>
  <si>
    <t>2025-0482-1</t>
  </si>
  <si>
    <t>2025-0482-2</t>
  </si>
  <si>
    <t>2025-0482-3</t>
  </si>
  <si>
    <t>2025-0482-4</t>
  </si>
  <si>
    <t>2025-0482-5</t>
  </si>
  <si>
    <t>2025-0482-6</t>
  </si>
  <si>
    <t xml:space="preserve">BACUM, SON. </t>
  </si>
  <si>
    <t>BLOCK 905</t>
  </si>
  <si>
    <t xml:space="preserve">NOGAL </t>
  </si>
  <si>
    <t xml:space="preserve">COSECHA </t>
  </si>
  <si>
    <t xml:space="preserve">GOTEO </t>
  </si>
  <si>
    <t>0034</t>
  </si>
  <si>
    <t xml:space="preserve">El análisis foliar de nogal   indica que el nitrógeno. potasio,  fósforo y cobre se encuentran por debajo de los niveles de suficiencia para el cultivo. 
Recomendación.-  Aplicar al suelo en el riego 20 kg/ha de nitrógeno + 30 L/ha de tiosulfato de potasio.
Aparte y sin mezclar aplicar al suelo en el riego 15 L/ha de ácido fosfórico.
Aplicar vía foliar  0.2 kg/ha de sulfato de cobre en 200 litros de agua.
Continuar con el programa de fertilización establecido  para el  cultivo realizando los ajustes indicados.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</si>
</sst>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-* #,##0.0000_-;\-* #,##0.0000_-;_-* &quot;-&quot;??_-;_-@_-"/>
    <numFmt numFmtId="165" formatCode="0.0000"/>
    <numFmt numFmtId="166" formatCode="0.000"/>
    <numFmt numFmtId="167" formatCode="0.0"/>
  </numFmts>
  <fonts count="2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4E9442"/>
      <name val="Arial"/>
      <family val="2"/>
    </font>
    <font>
      <b/>
      <sz val="11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4E9442"/>
      <name val="Arial"/>
      <family val="2"/>
    </font>
    <font>
      <b/>
      <sz val="10"/>
      <color rgb="FF4E9442"/>
      <name val="Arial"/>
      <family val="2"/>
    </font>
    <font>
      <b/>
      <sz val="10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8"/>
      <color theme="0"/>
      <name val="Arial"/>
      <family val="2"/>
    </font>
    <font>
      <b/>
      <sz val="9"/>
      <color theme="1"/>
      <name val="Arial"/>
      <family val="2"/>
    </font>
    <font>
      <b/>
      <sz val="8"/>
      <color rgb="FF4E9442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</font>
    <font>
      <sz val="7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E9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Border="1"/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2" xfId="0" applyFont="1" applyBorder="1" applyAlignment="1">
      <alignment horizontal="left"/>
    </xf>
    <xf numFmtId="0" fontId="2" fillId="0" borderId="0" xfId="0" applyFont="1" applyBorder="1"/>
    <xf numFmtId="0" fontId="1" fillId="0" borderId="0" xfId="0" applyFont="1" applyFill="1" applyBorder="1" applyAlignment="1">
      <alignment vertical="center"/>
    </xf>
    <xf numFmtId="0" fontId="10" fillId="0" borderId="0" xfId="0" applyFont="1"/>
    <xf numFmtId="0" fontId="0" fillId="3" borderId="12" xfId="0" applyFill="1" applyBorder="1"/>
    <xf numFmtId="0" fontId="10" fillId="0" borderId="0" xfId="0" applyFont="1" applyAlignment="1">
      <alignment horizontal="right"/>
    </xf>
    <xf numFmtId="14" fontId="0" fillId="3" borderId="12" xfId="0" applyNumberFormat="1" applyFill="1" applyBorder="1"/>
    <xf numFmtId="0" fontId="10" fillId="0" borderId="0" xfId="0" applyFont="1" applyAlignment="1">
      <alignment horizontal="right" vertical="center"/>
    </xf>
    <xf numFmtId="0" fontId="10" fillId="0" borderId="12" xfId="0" applyFont="1" applyBorder="1"/>
    <xf numFmtId="0" fontId="10" fillId="0" borderId="0" xfId="0" applyFont="1" applyFill="1" applyBorder="1" applyAlignment="1">
      <alignment horizontal="right"/>
    </xf>
    <xf numFmtId="0" fontId="10" fillId="0" borderId="13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0" borderId="12" xfId="0" applyBorder="1" applyAlignment="1">
      <alignment horizontal="center"/>
    </xf>
    <xf numFmtId="0" fontId="0" fillId="0" borderId="12" xfId="0" applyBorder="1"/>
    <xf numFmtId="165" fontId="0" fillId="0" borderId="12" xfId="0" applyNumberFormat="1" applyBorder="1"/>
    <xf numFmtId="166" fontId="0" fillId="0" borderId="12" xfId="0" applyNumberFormat="1" applyBorder="1"/>
    <xf numFmtId="166" fontId="2" fillId="0" borderId="12" xfId="0" applyNumberFormat="1" applyFont="1" applyFill="1" applyBorder="1" applyAlignment="1">
      <alignment horizontal="center" vertical="center"/>
    </xf>
    <xf numFmtId="165" fontId="2" fillId="0" borderId="12" xfId="1" applyNumberFormat="1" applyFont="1" applyBorder="1" applyAlignment="1">
      <alignment horizontal="center" vertical="center"/>
    </xf>
    <xf numFmtId="166" fontId="0" fillId="0" borderId="0" xfId="0" applyNumberFormat="1"/>
    <xf numFmtId="166" fontId="2" fillId="0" borderId="12" xfId="0" applyNumberFormat="1" applyFont="1" applyBorder="1" applyAlignment="1">
      <alignment horizontal="center" vertical="center"/>
    </xf>
    <xf numFmtId="167" fontId="0" fillId="0" borderId="0" xfId="0" applyNumberFormat="1"/>
    <xf numFmtId="0" fontId="0" fillId="0" borderId="16" xfId="0" applyBorder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10" fillId="0" borderId="0" xfId="0" applyFont="1" applyFill="1" applyBorder="1"/>
    <xf numFmtId="0" fontId="6" fillId="0" borderId="0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" fillId="0" borderId="5" xfId="0" applyFont="1" applyFill="1" applyBorder="1" applyAlignment="1">
      <alignment vertical="top"/>
    </xf>
    <xf numFmtId="0" fontId="0" fillId="0" borderId="0" xfId="0" applyFill="1" applyBorder="1"/>
    <xf numFmtId="49" fontId="0" fillId="0" borderId="0" xfId="0" applyNumberFormat="1" applyFill="1" applyBorder="1"/>
    <xf numFmtId="0" fontId="0" fillId="0" borderId="0" xfId="0" applyAlignment="1">
      <alignment horizontal="right"/>
    </xf>
    <xf numFmtId="0" fontId="0" fillId="0" borderId="0" xfId="0" applyFill="1"/>
    <xf numFmtId="0" fontId="0" fillId="0" borderId="13" xfId="0" applyFont="1" applyBorder="1" applyAlignment="1">
      <alignment horizontal="center"/>
    </xf>
    <xf numFmtId="0" fontId="10" fillId="0" borderId="14" xfId="0" applyFont="1" applyBorder="1" applyAlignment="1">
      <alignment wrapText="1"/>
    </xf>
    <xf numFmtId="0" fontId="10" fillId="0" borderId="13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13" xfId="0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5" xfId="0" applyFill="1" applyBorder="1" applyAlignment="1">
      <alignment horizontal="center" wrapText="1"/>
    </xf>
    <xf numFmtId="0" fontId="0" fillId="3" borderId="12" xfId="0" applyFill="1" applyBorder="1" applyAlignment="1">
      <alignment wrapText="1"/>
    </xf>
    <xf numFmtId="0" fontId="0" fillId="0" borderId="0" xfId="0" applyBorder="1"/>
    <xf numFmtId="0" fontId="10" fillId="0" borderId="0" xfId="0" applyFont="1" applyBorder="1" applyAlignment="1">
      <alignment horizontal="right"/>
    </xf>
    <xf numFmtId="0" fontId="0" fillId="0" borderId="12" xfId="0" applyFill="1" applyBorder="1"/>
    <xf numFmtId="165" fontId="0" fillId="0" borderId="0" xfId="0" applyNumberFormat="1"/>
    <xf numFmtId="165" fontId="0" fillId="3" borderId="0" xfId="0" applyNumberFormat="1" applyFill="1"/>
    <xf numFmtId="165" fontId="0" fillId="0" borderId="0" xfId="0" applyNumberFormat="1" applyFill="1"/>
    <xf numFmtId="0" fontId="2" fillId="0" borderId="12" xfId="0" applyFont="1" applyFill="1" applyBorder="1" applyAlignment="1">
      <alignment horizontal="center" vertical="center" wrapText="1"/>
    </xf>
    <xf numFmtId="164" fontId="2" fillId="0" borderId="12" xfId="1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6" xfId="0" applyBorder="1" applyAlignment="1">
      <alignment horizontal="right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/>
    <xf numFmtId="0" fontId="0" fillId="0" borderId="0" xfId="0" applyAlignment="1">
      <alignment horizontal="left"/>
    </xf>
    <xf numFmtId="0" fontId="0" fillId="0" borderId="12" xfId="0" applyBorder="1" applyAlignment="1">
      <alignment vertical="center"/>
    </xf>
    <xf numFmtId="166" fontId="0" fillId="0" borderId="12" xfId="0" applyNumberFormat="1" applyFill="1" applyBorder="1"/>
    <xf numFmtId="0" fontId="1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0" fillId="0" borderId="12" xfId="0" applyNumberForma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1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/>
    </xf>
    <xf numFmtId="49" fontId="0" fillId="3" borderId="12" xfId="0" applyNumberFormat="1" applyFill="1" applyBorder="1" applyAlignment="1">
      <alignment horizontal="right"/>
    </xf>
    <xf numFmtId="0" fontId="0" fillId="3" borderId="12" xfId="0" applyFill="1" applyBorder="1" applyAlignment="1" applyProtection="1">
      <alignment horizontal="left"/>
      <protection locked="0"/>
    </xf>
    <xf numFmtId="14" fontId="0" fillId="3" borderId="12" xfId="0" applyNumberFormat="1" applyFill="1" applyBorder="1" applyAlignment="1" applyProtection="1">
      <alignment horizontal="left"/>
      <protection locked="0"/>
    </xf>
    <xf numFmtId="49" fontId="0" fillId="3" borderId="12" xfId="0" applyNumberFormat="1" applyFill="1" applyBorder="1" applyAlignment="1" applyProtection="1">
      <alignment horizontal="left"/>
      <protection locked="0"/>
    </xf>
    <xf numFmtId="0" fontId="8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22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3" fontId="8" fillId="0" borderId="0" xfId="0" applyNumberFormat="1" applyFont="1"/>
    <xf numFmtId="0" fontId="8" fillId="0" borderId="4" xfId="0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8" fillId="0" borderId="5" xfId="0" applyFont="1" applyFill="1" applyBorder="1" applyAlignment="1">
      <alignment vertical="top"/>
    </xf>
    <xf numFmtId="0" fontId="8" fillId="0" borderId="24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0" fillId="3" borderId="12" xfId="0" applyNumberFormat="1" applyFill="1" applyBorder="1"/>
    <xf numFmtId="0" fontId="10" fillId="0" borderId="0" xfId="0" applyFont="1" applyAlignment="1">
      <alignment horizontal="right"/>
    </xf>
    <xf numFmtId="0" fontId="10" fillId="0" borderId="33" xfId="0" applyFont="1" applyBorder="1" applyAlignment="1">
      <alignment horizontal="right"/>
    </xf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 wrapText="1"/>
    </xf>
    <xf numFmtId="0" fontId="10" fillId="0" borderId="11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25" fillId="0" borderId="2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1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right" vertical="center"/>
    </xf>
    <xf numFmtId="0" fontId="21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2" fontId="8" fillId="0" borderId="29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23" fillId="2" borderId="9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8" fillId="0" borderId="3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14" fontId="8" fillId="0" borderId="7" xfId="0" applyNumberFormat="1" applyFont="1" applyBorder="1" applyAlignment="1">
      <alignment horizontal="left"/>
    </xf>
    <xf numFmtId="14" fontId="8" fillId="0" borderId="8" xfId="0" applyNumberFormat="1" applyFont="1" applyBorder="1" applyAlignment="1">
      <alignment horizontal="left"/>
    </xf>
    <xf numFmtId="0" fontId="8" fillId="0" borderId="0" xfId="0" applyFont="1" applyBorder="1" applyAlignment="1">
      <alignment horizontal="right" vertical="center"/>
    </xf>
    <xf numFmtId="0" fontId="1" fillId="0" borderId="2" xfId="0" applyFont="1" applyBorder="1" applyAlignment="1">
      <alignment horizontal="left"/>
    </xf>
    <xf numFmtId="0" fontId="1" fillId="0" borderId="2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14" fontId="1" fillId="0" borderId="5" xfId="0" applyNumberFormat="1" applyFont="1" applyBorder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2" fontId="8" fillId="0" borderId="18" xfId="0" applyNumberFormat="1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3" fontId="8" fillId="0" borderId="23" xfId="0" applyNumberFormat="1" applyFont="1" applyBorder="1" applyAlignment="1">
      <alignment horizontal="center" vertical="center"/>
    </xf>
    <xf numFmtId="3" fontId="8" fillId="0" borderId="24" xfId="0" applyNumberFormat="1" applyFont="1" applyBorder="1" applyAlignment="1">
      <alignment horizontal="center" vertical="center"/>
    </xf>
    <xf numFmtId="3" fontId="8" fillId="0" borderId="25" xfId="0" applyNumberFormat="1" applyFont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5" xfId="0" applyFont="1" applyBorder="1" applyAlignment="1">
      <alignment horizontal="left"/>
    </xf>
    <xf numFmtId="0" fontId="8" fillId="0" borderId="2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right"/>
    </xf>
    <xf numFmtId="0" fontId="3" fillId="0" borderId="2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20" fillId="2" borderId="39" xfId="0" applyFont="1" applyFill="1" applyBorder="1" applyAlignment="1">
      <alignment horizontal="center" vertical="center"/>
    </xf>
    <xf numFmtId="0" fontId="20" fillId="2" borderId="3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  <xf numFmtId="14" fontId="2" fillId="0" borderId="7" xfId="0" applyNumberFormat="1" applyFont="1" applyBorder="1" applyAlignment="1">
      <alignment horizontal="left"/>
    </xf>
    <xf numFmtId="14" fontId="2" fillId="0" borderId="8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0" fillId="2" borderId="3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5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0" fontId="8" fillId="0" borderId="8" xfId="0" applyFont="1" applyFill="1" applyBorder="1" applyAlignment="1">
      <alignment horizontal="left" vertical="top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3" fillId="2" borderId="43" xfId="0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4E9442"/>
      <color rgb="FF45FFFF"/>
      <color rgb="FF11A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0716885389326336"/>
          <c:y val="0.29653944298629326"/>
          <c:w val="0.65283114610673665"/>
          <c:h val="0.587480679498396"/>
        </c:manualLayout>
      </c:layout>
      <c:scatterChart>
        <c:scatterStyle val="lineMarker"/>
        <c:varyColors val="0"/>
        <c:ser>
          <c:idx val="0"/>
          <c:order val="0"/>
          <c:tx>
            <c:v>CURVA DE CALLIBRACION DE BORO EN PLANTA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379593175853021"/>
                  <c:y val="-6.1312335958010618E-2"/>
                </c:manualLayout>
              </c:layout>
              <c:numFmt formatCode="General" sourceLinked="0"/>
            </c:trendlineLbl>
          </c:trendline>
          <c:xVal>
            <c:numRef>
              <c:f>Boro!$I$4:$I$11</c:f>
              <c:numCache>
                <c:formatCode>0.000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0.375</c:v>
                </c:pt>
                <c:pt idx="7">
                  <c:v>0.5</c:v>
                </c:pt>
              </c:numCache>
            </c:numRef>
          </c:xVal>
          <c:yVal>
            <c:numRef>
              <c:f>Boro!$J$4:$J$11</c:f>
              <c:numCache>
                <c:formatCode>0.000</c:formatCode>
                <c:ptCount val="8"/>
                <c:pt idx="0">
                  <c:v>0</c:v>
                </c:pt>
                <c:pt idx="1">
                  <c:v>3.5999999999999997E-2</c:v>
                </c:pt>
                <c:pt idx="2">
                  <c:v>5.5E-2</c:v>
                </c:pt>
                <c:pt idx="3">
                  <c:v>8.5999999999999993E-2</c:v>
                </c:pt>
                <c:pt idx="4">
                  <c:v>0.13100000000000001</c:v>
                </c:pt>
                <c:pt idx="5">
                  <c:v>0.14899999999999999</c:v>
                </c:pt>
                <c:pt idx="6">
                  <c:v>0.22900000000000001</c:v>
                </c:pt>
                <c:pt idx="7">
                  <c:v>0.30099999999999999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0EC-451C-A211-EBAA6CB80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055296"/>
        <c:axId val="230057088"/>
      </c:scatterChart>
      <c:valAx>
        <c:axId val="230055296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230057088"/>
        <c:crosses val="autoZero"/>
        <c:crossBetween val="midCat"/>
      </c:valAx>
      <c:valAx>
        <c:axId val="23005708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230055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3415901137357832"/>
                  <c:y val="-2.3622776319626712E-2"/>
                </c:manualLayout>
              </c:layout>
              <c:numFmt formatCode="General" sourceLinked="0"/>
            </c:trendlineLbl>
          </c:trendline>
          <c:xVal>
            <c:numRef>
              <c:f>'N-NO3'!$B$2:$B$187</c:f>
              <c:numCache>
                <c:formatCode>0.0000</c:formatCode>
                <c:ptCount val="186"/>
                <c:pt idx="0">
                  <c:v>2.627894244411916</c:v>
                </c:pt>
                <c:pt idx="1">
                  <c:v>2.5624065724487299</c:v>
                </c:pt>
                <c:pt idx="2">
                  <c:v>2.5008903604806241</c:v>
                </c:pt>
                <c:pt idx="3">
                  <c:v>2.4428913330856901</c:v>
                </c:pt>
                <c:pt idx="4">
                  <c:v>2.3880289596054958</c:v>
                </c:pt>
                <c:pt idx="5">
                  <c:v>2.3359813084112151</c:v>
                </c:pt>
                <c:pt idx="6">
                  <c:v>2.286473600303883</c:v>
                </c:pt>
                <c:pt idx="7">
                  <c:v>2.239269427200409</c:v>
                </c:pt>
                <c:pt idx="8">
                  <c:v>2.1941639244074493</c:v>
                </c:pt>
                <c:pt idx="9">
                  <c:v>2.1509783970849887</c:v>
                </c:pt>
                <c:pt idx="10">
                  <c:v>2.1095560443736998</c:v>
                </c:pt>
                <c:pt idx="11">
                  <c:v>2.0697585226475774</c:v>
                </c:pt>
                <c:pt idx="12">
                  <c:v>2.0314631577219484</c:v>
                </c:pt>
                <c:pt idx="13">
                  <c:v>1.9945606643031821</c:v>
                </c:pt>
                <c:pt idx="14">
                  <c:v>1.9589532658061337</c:v>
                </c:pt>
                <c:pt idx="15">
                  <c:v>1.9245531330474739</c:v>
                </c:pt>
                <c:pt idx="16">
                  <c:v>1.891281079041375</c:v>
                </c:pt>
                <c:pt idx="17">
                  <c:v>1.8590654610842881</c:v>
                </c:pt>
                <c:pt idx="18">
                  <c:v>1.8278412518366678</c:v>
                </c:pt>
                <c:pt idx="19">
                  <c:v>1.7975492491161824</c:v>
                </c:pt>
                <c:pt idx="20">
                  <c:v>1.7681354002656673</c:v>
                </c:pt>
                <c:pt idx="21">
                  <c:v>1.7395502217212477</c:v>
                </c:pt>
                <c:pt idx="22">
                  <c:v>1.7117482981237995</c:v>
                </c:pt>
                <c:pt idx="23">
                  <c:v>1.6846878482410539</c:v>
                </c:pt>
                <c:pt idx="24">
                  <c:v>1.6583303472838364</c:v>
                </c:pt>
                <c:pt idx="25">
                  <c:v>1.6326401970467728</c:v>
                </c:pt>
                <c:pt idx="26">
                  <c:v>1.6075844367856209</c:v>
                </c:pt>
                <c:pt idx="27">
                  <c:v>1.5831324889394409</c:v>
                </c:pt>
                <c:pt idx="28">
                  <c:v>1.5592559347766233</c:v>
                </c:pt>
                <c:pt idx="29">
                  <c:v>1.5359283158359667</c:v>
                </c:pt>
                <c:pt idx="30">
                  <c:v>1.5131249576837327</c:v>
                </c:pt>
                <c:pt idx="31">
                  <c:v>1.4908228130430072</c:v>
                </c:pt>
                <c:pt idx="32">
                  <c:v>1.4690003217950087</c:v>
                </c:pt>
                <c:pt idx="33">
                  <c:v>1.4476372857205468</c:v>
                </c:pt>
                <c:pt idx="34">
                  <c:v>1.4267147561576345</c:v>
                </c:pt>
                <c:pt idx="35">
                  <c:v>1.4062149330092579</c:v>
                </c:pt>
                <c:pt idx="36">
                  <c:v>1.3861210737524414</c:v>
                </c:pt>
                <c:pt idx="37">
                  <c:v>1.3664174112831358</c:v>
                </c:pt>
                <c:pt idx="38">
                  <c:v>1.3470890795868975</c:v>
                </c:pt>
                <c:pt idx="39">
                  <c:v>1.3281220463575063</c:v>
                </c:pt>
                <c:pt idx="40">
                  <c:v>1.3095030517984518</c:v>
                </c:pt>
                <c:pt idx="41">
                  <c:v>1.2912195529387402</c:v>
                </c:pt>
                <c:pt idx="42">
                  <c:v>1.2732596728773127</c:v>
                </c:pt>
                <c:pt idx="43">
                  <c:v>1.2556121544416914</c:v>
                </c:pt>
                <c:pt idx="44">
                  <c:v>1.2382663178080304</c:v>
                </c:pt>
                <c:pt idx="45">
                  <c:v>1.221212021683032</c:v>
                </c:pt>
                <c:pt idx="46">
                  <c:v>1.2044396276944258</c:v>
                </c:pt>
                <c:pt idx="47">
                  <c:v>1.1879399676769331</c:v>
                </c:pt>
                <c:pt idx="48">
                  <c:v>1.1717043135756997</c:v>
                </c:pt>
                <c:pt idx="49">
                  <c:v>1.1557243497198459</c:v>
                </c:pt>
                <c:pt idx="50">
                  <c:v>1.1399921472456207</c:v>
                </c:pt>
                <c:pt idx="51">
                  <c:v>1.1245001404722255</c:v>
                </c:pt>
                <c:pt idx="52">
                  <c:v>1.1092411050541</c:v>
                </c:pt>
                <c:pt idx="53">
                  <c:v>1.0942081377517403</c:v>
                </c:pt>
                <c:pt idx="54">
                  <c:v>1.0793946376792662</c:v>
                </c:pt>
                <c:pt idx="55">
                  <c:v>1.0647942889012252</c:v>
                </c:pt>
                <c:pt idx="56">
                  <c:v>1.050401044263799</c:v>
                </c:pt>
                <c:pt idx="57">
                  <c:v>1.0362091103568056</c:v>
                </c:pt>
                <c:pt idx="58">
                  <c:v>1.0222129335129098</c:v>
                </c:pt>
                <c:pt idx="59">
                  <c:v>1.0084071867593576</c:v>
                </c:pt>
                <c:pt idx="60">
                  <c:v>0.99478675764551683</c:v>
                </c:pt>
                <c:pt idx="61">
                  <c:v>0.98134673687661178</c:v>
                </c:pt>
                <c:pt idx="62">
                  <c:v>0.96808240769041898</c:v>
                </c:pt>
                <c:pt idx="63">
                  <c:v>0.95498923591939444</c:v>
                </c:pt>
                <c:pt idx="64">
                  <c:v>0.94206286068584066</c:v>
                </c:pt>
                <c:pt idx="65">
                  <c:v>0.92929908568233088</c:v>
                </c:pt>
                <c:pt idx="66">
                  <c:v>0.91669387099376498</c:v>
                </c:pt>
                <c:pt idx="67">
                  <c:v>0.90424332542117891</c:v>
                </c:pt>
                <c:pt idx="68">
                  <c:v>0.89194369927081152</c:v>
                </c:pt>
                <c:pt idx="69">
                  <c:v>0.87979137757499903</c:v>
                </c:pt>
                <c:pt idx="70">
                  <c:v>0.86778287371422547</c:v>
                </c:pt>
                <c:pt idx="71">
                  <c:v>0.85591482341218106</c:v>
                </c:pt>
                <c:pt idx="72">
                  <c:v>0.84418397907795029</c:v>
                </c:pt>
                <c:pt idx="73">
                  <c:v>0.83258720447152479</c:v>
                </c:pt>
                <c:pt idx="74">
                  <c:v>0.82112146967072064</c:v>
                </c:pt>
                <c:pt idx="75">
                  <c:v>0.80978384631929057</c:v>
                </c:pt>
                <c:pt idx="76">
                  <c:v>0.79857150313758785</c:v>
                </c:pt>
                <c:pt idx="77">
                  <c:v>0.78748170167856524</c:v>
                </c:pt>
                <c:pt idx="78">
                  <c:v>0.77651179231319178</c:v>
                </c:pt>
                <c:pt idx="79">
                  <c:v>0.76565921043056684</c:v>
                </c:pt>
                <c:pt idx="80">
                  <c:v>0.75492147283909683</c:v>
                </c:pt>
                <c:pt idx="81">
                  <c:v>0.74429617435610462</c:v>
                </c:pt>
                <c:pt idx="82">
                  <c:v>0.73378098457415053</c:v>
                </c:pt>
                <c:pt idx="83">
                  <c:v>0.72337364479319244</c:v>
                </c:pt>
                <c:pt idx="84">
                  <c:v>0.71307196510848436</c:v>
                </c:pt>
                <c:pt idx="85">
                  <c:v>0.70287382164481593</c:v>
                </c:pt>
                <c:pt idx="86">
                  <c:v>0.69277715392836137</c:v>
                </c:pt>
                <c:pt idx="87">
                  <c:v>0.68277996238799921</c:v>
                </c:pt>
                <c:pt idx="88">
                  <c:v>0.67288030597852566</c:v>
                </c:pt>
                <c:pt idx="89">
                  <c:v>0.66307629991869355</c:v>
                </c:pt>
                <c:pt idx="90">
                  <c:v>0.65336611353748397</c:v>
                </c:pt>
                <c:pt idx="91">
                  <c:v>0.64374796822245561</c:v>
                </c:pt>
                <c:pt idx="92">
                  <c:v>0.63422013546441958</c:v>
                </c:pt>
                <c:pt idx="93">
                  <c:v>0.6247809349930642</c:v>
                </c:pt>
                <c:pt idx="94">
                  <c:v>0.61542873299849887</c:v>
                </c:pt>
                <c:pt idx="95">
                  <c:v>0.60616194043400973</c:v>
                </c:pt>
                <c:pt idx="96">
                  <c:v>0.59697901139561627</c:v>
                </c:pt>
                <c:pt idx="97">
                  <c:v>0.58787844157429803</c:v>
                </c:pt>
                <c:pt idx="98">
                  <c:v>0.57885876677701287</c:v>
                </c:pt>
                <c:pt idx="99">
                  <c:v>0.56991856151287068</c:v>
                </c:pt>
                <c:pt idx="100">
                  <c:v>0.5610564376410504</c:v>
                </c:pt>
                <c:pt idx="101">
                  <c:v>0.55227104307724939</c:v>
                </c:pt>
                <c:pt idx="102">
                  <c:v>0.54356106055565323</c:v>
                </c:pt>
                <c:pt idx="103">
                  <c:v>0.53492520644358832</c:v>
                </c:pt>
                <c:pt idx="104">
                  <c:v>0.52636222960619261</c:v>
                </c:pt>
                <c:pt idx="105">
                  <c:v>0.51787091031858967</c:v>
                </c:pt>
                <c:pt idx="106">
                  <c:v>0.50945005922320352</c:v>
                </c:pt>
                <c:pt idx="107">
                  <c:v>0.50109851632998359</c:v>
                </c:pt>
                <c:pt idx="108">
                  <c:v>0.49281515005743759</c:v>
                </c:pt>
                <c:pt idx="109">
                  <c:v>0.48459885631249094</c:v>
                </c:pt>
                <c:pt idx="110">
                  <c:v>0.47644855760730093</c:v>
                </c:pt>
                <c:pt idx="111">
                  <c:v>0.46836320221125766</c:v>
                </c:pt>
                <c:pt idx="112">
                  <c:v>0.46034176333650539</c:v>
                </c:pt>
                <c:pt idx="113">
                  <c:v>0.45238323835540378</c:v>
                </c:pt>
                <c:pt idx="114">
                  <c:v>0.44448664804843979</c:v>
                </c:pt>
                <c:pt idx="115">
                  <c:v>0.43665103588117854</c:v>
                </c:pt>
                <c:pt idx="116">
                  <c:v>0.42887546730891807</c:v>
                </c:pt>
                <c:pt idx="117">
                  <c:v>0.42115902910778341</c:v>
                </c:pt>
                <c:pt idx="118">
                  <c:v>0.41350082873106397</c:v>
                </c:pt>
                <c:pt idx="119">
                  <c:v>0.40589999368965785</c:v>
                </c:pt>
                <c:pt idx="120">
                  <c:v>0.39835567095554919</c:v>
                </c:pt>
                <c:pt idx="121">
                  <c:v>0.39086702638729826</c:v>
                </c:pt>
                <c:pt idx="122">
                  <c:v>0.3834332441765757</c:v>
                </c:pt>
                <c:pt idx="123">
                  <c:v>0.37605352631482414</c:v>
                </c:pt>
                <c:pt idx="124">
                  <c:v>0.36872709207917326</c:v>
                </c:pt>
                <c:pt idx="125">
                  <c:v>0.36145317753678313</c:v>
                </c:pt>
                <c:pt idx="126">
                  <c:v>0.35423103506682552</c:v>
                </c:pt>
                <c:pt idx="127">
                  <c:v>0.34705993289935683</c:v>
                </c:pt>
                <c:pt idx="128">
                  <c:v>0.33993915467037239</c:v>
                </c:pt>
                <c:pt idx="129">
                  <c:v>0.33286799899236347</c:v>
                </c:pt>
                <c:pt idx="130">
                  <c:v>0.32584577903973438</c:v>
                </c:pt>
                <c:pt idx="131">
                  <c:v>0.31887182214846754</c:v>
                </c:pt>
                <c:pt idx="132">
                  <c:v>0.31194546942945117</c:v>
                </c:pt>
                <c:pt idx="133">
                  <c:v>0.30506607539491548</c:v>
                </c:pt>
                <c:pt idx="134">
                  <c:v>0.29823300759744664</c:v>
                </c:pt>
                <c:pt idx="135">
                  <c:v>0.29144564628107461</c:v>
                </c:pt>
                <c:pt idx="136">
                  <c:v>0.28470338404395268</c:v>
                </c:pt>
                <c:pt idx="137">
                  <c:v>0.27800562551216973</c:v>
                </c:pt>
                <c:pt idx="138">
                  <c:v>0.27135178702425788</c:v>
                </c:pt>
                <c:pt idx="139">
                  <c:v>0.26474129632597693</c:v>
                </c:pt>
                <c:pt idx="140">
                  <c:v>0.25817359227497594</c:v>
                </c:pt>
                <c:pt idx="141">
                  <c:v>0.25164812455495228</c:v>
                </c:pt>
                <c:pt idx="142">
                  <c:v>0.24516435339894263</c:v>
                </c:pt>
                <c:pt idx="143">
                  <c:v>0.23872174932139847</c:v>
                </c:pt>
                <c:pt idx="144">
                  <c:v>0.23231979285871421</c:v>
                </c:pt>
                <c:pt idx="145">
                  <c:v>0.22595797431788875</c:v>
                </c:pt>
                <c:pt idx="146">
                  <c:v>0.21963579353301743</c:v>
                </c:pt>
                <c:pt idx="147">
                  <c:v>0.21335275962932293</c:v>
                </c:pt>
                <c:pt idx="148">
                  <c:v>0.20710839079444721</c:v>
                </c:pt>
                <c:pt idx="149">
                  <c:v>0.20090221405673675</c:v>
                </c:pt>
                <c:pt idx="150">
                  <c:v>0.19473376507026852</c:v>
                </c:pt>
                <c:pt idx="151">
                  <c:v>0.18860258790636944</c:v>
                </c:pt>
                <c:pt idx="152">
                  <c:v>0.18250823485139703</c:v>
                </c:pt>
                <c:pt idx="153">
                  <c:v>0.1764502662105569</c:v>
                </c:pt>
                <c:pt idx="154">
                  <c:v>0.17042825011754129</c:v>
                </c:pt>
                <c:pt idx="155">
                  <c:v>0.16444176234978336</c:v>
                </c:pt>
                <c:pt idx="156">
                  <c:v>0.15849038614912936</c:v>
                </c:pt>
                <c:pt idx="157">
                  <c:v>0.15257371204773898</c:v>
                </c:pt>
                <c:pt idx="158">
                  <c:v>0.1466913376990322</c:v>
                </c:pt>
                <c:pt idx="159">
                  <c:v>0.14084286771350812</c:v>
                </c:pt>
                <c:pt idx="160">
                  <c:v>0.13502791349926813</c:v>
                </c:pt>
                <c:pt idx="161">
                  <c:v>0.12924609310708265</c:v>
                </c:pt>
                <c:pt idx="162">
                  <c:v>0.12349703107984711</c:v>
                </c:pt>
                <c:pt idx="163">
                  <c:v>0.11778035830627853</c:v>
                </c:pt>
                <c:pt idx="164">
                  <c:v>0.11209571187871033</c:v>
                </c:pt>
                <c:pt idx="165">
                  <c:v>0.10644273495484841</c:v>
                </c:pt>
                <c:pt idx="166">
                  <c:v>0.10082107662335672</c:v>
                </c:pt>
                <c:pt idx="167">
                  <c:v>9.5230391773145767E-2</c:v>
                </c:pt>
                <c:pt idx="168">
                  <c:v>8.967034096624231E-2</c:v>
                </c:pt>
                <c:pt idx="169">
                  <c:v>8.4140590314123173E-2</c:v>
                </c:pt>
                <c:pt idx="170">
                  <c:v>7.8640811357400406E-2</c:v>
                </c:pt>
                <c:pt idx="171">
                  <c:v>7.3170680948749678E-2</c:v>
                </c:pt>
                <c:pt idx="172">
                  <c:v>6.7729881138977113E-2</c:v>
                </c:pt>
                <c:pt idx="173">
                  <c:v>6.2318099066124691E-2</c:v>
                </c:pt>
                <c:pt idx="174">
                  <c:v>5.6935026847516536E-2</c:v>
                </c:pt>
                <c:pt idx="175">
                  <c:v>5.15803614746548E-2</c:v>
                </c:pt>
                <c:pt idx="176">
                  <c:v>4.6253804710873078E-2</c:v>
                </c:pt>
                <c:pt idx="177">
                  <c:v>4.0955062991662627E-2</c:v>
                </c:pt>
                <c:pt idx="178">
                  <c:v>3.5683847327587497E-2</c:v>
                </c:pt>
                <c:pt idx="179">
                  <c:v>3.0439873209708319E-2</c:v>
                </c:pt>
                <c:pt idx="180">
                  <c:v>2.5222860517437367E-2</c:v>
                </c:pt>
                <c:pt idx="181">
                  <c:v>2.0032533428750349E-2</c:v>
                </c:pt>
                <c:pt idx="182">
                  <c:v>1.4868620332682884E-2</c:v>
                </c:pt>
                <c:pt idx="183">
                  <c:v>9.7308537440422629E-3</c:v>
                </c:pt>
                <c:pt idx="184">
                  <c:v>4.6189702202676331E-3</c:v>
                </c:pt>
                <c:pt idx="185">
                  <c:v>-4.6728971962616824E-4</c:v>
                </c:pt>
              </c:numCache>
            </c:numRef>
          </c:xVal>
          <c:yVal>
            <c:numRef>
              <c:f>'N-NO3'!$C$2:$C$187</c:f>
              <c:numCache>
                <c:formatCode>General</c:formatCode>
                <c:ptCount val="186"/>
                <c:pt idx="0">
                  <c:v>1.1249387366082999</c:v>
                </c:pt>
                <c:pt idx="1">
                  <c:v>1.0969100130080565</c:v>
                </c:pt>
                <c:pt idx="2">
                  <c:v>1.0705810742857071</c:v>
                </c:pt>
                <c:pt idx="3">
                  <c:v>1.0457574905606752</c:v>
                </c:pt>
                <c:pt idx="4">
                  <c:v>1.0222763947111522</c:v>
                </c:pt>
                <c:pt idx="5">
                  <c:v>1</c:v>
                </c:pt>
                <c:pt idx="6">
                  <c:v>0.97881070093006195</c:v>
                </c:pt>
                <c:pt idx="7">
                  <c:v>0.95860731484177497</c:v>
                </c:pt>
                <c:pt idx="8">
                  <c:v>0.9393021596463883</c:v>
                </c:pt>
                <c:pt idx="9">
                  <c:v>0.92081875395237522</c:v>
                </c:pt>
                <c:pt idx="10">
                  <c:v>0.90308998699194354</c:v>
                </c:pt>
                <c:pt idx="11">
                  <c:v>0.88605664769316317</c:v>
                </c:pt>
                <c:pt idx="12">
                  <c:v>0.86966623150499389</c:v>
                </c:pt>
                <c:pt idx="13">
                  <c:v>0.85387196432176193</c:v>
                </c:pt>
                <c:pt idx="14">
                  <c:v>0.83863199776502517</c:v>
                </c:pt>
                <c:pt idx="15">
                  <c:v>0.82390874094431876</c:v>
                </c:pt>
                <c:pt idx="16">
                  <c:v>0.8096683018297085</c:v>
                </c:pt>
                <c:pt idx="17">
                  <c:v>0.79588001734407521</c:v>
                </c:pt>
                <c:pt idx="18">
                  <c:v>0.78251605578609373</c:v>
                </c:pt>
                <c:pt idx="19">
                  <c:v>0.769551078621726</c:v>
                </c:pt>
                <c:pt idx="20">
                  <c:v>0.75696195131370558</c:v>
                </c:pt>
                <c:pt idx="21">
                  <c:v>0.74472749489669399</c:v>
                </c:pt>
                <c:pt idx="22">
                  <c:v>0.73282827159698616</c:v>
                </c:pt>
                <c:pt idx="23">
                  <c:v>0.72124639904717103</c:v>
                </c:pt>
                <c:pt idx="24">
                  <c:v>0.70996538863748193</c:v>
                </c:pt>
                <c:pt idx="25">
                  <c:v>0.69897000433601875</c:v>
                </c:pt>
                <c:pt idx="26">
                  <c:v>0.68824613894424569</c:v>
                </c:pt>
                <c:pt idx="27">
                  <c:v>0.6777807052660807</c:v>
                </c:pt>
                <c:pt idx="28">
                  <c:v>0.66756154008439472</c:v>
                </c:pt>
                <c:pt idx="29">
                  <c:v>0.65757731917779372</c:v>
                </c:pt>
                <c:pt idx="30">
                  <c:v>0.64781748188863753</c:v>
                </c:pt>
                <c:pt idx="31">
                  <c:v>0.63827216398240705</c:v>
                </c:pt>
                <c:pt idx="32">
                  <c:v>0.62893213772826373</c:v>
                </c:pt>
                <c:pt idx="33">
                  <c:v>0.61978875828839397</c:v>
                </c:pt>
                <c:pt idx="34">
                  <c:v>0.61083391563546752</c:v>
                </c:pt>
                <c:pt idx="35">
                  <c:v>0.6020599913279624</c:v>
                </c:pt>
                <c:pt idx="36">
                  <c:v>0.59345981956604488</c:v>
                </c:pt>
                <c:pt idx="37">
                  <c:v>0.58502665202918203</c:v>
                </c:pt>
                <c:pt idx="38">
                  <c:v>0.5767541260631921</c:v>
                </c:pt>
                <c:pt idx="39">
                  <c:v>0.56863623584101264</c:v>
                </c:pt>
                <c:pt idx="40">
                  <c:v>0.56066730616973737</c:v>
                </c:pt>
                <c:pt idx="41">
                  <c:v>0.55284196865778079</c:v>
                </c:pt>
                <c:pt idx="42">
                  <c:v>0.54515513999148979</c:v>
                </c:pt>
                <c:pt idx="43">
                  <c:v>0.53760200210104392</c:v>
                </c:pt>
                <c:pt idx="44">
                  <c:v>0.53017798402183702</c:v>
                </c:pt>
                <c:pt idx="45">
                  <c:v>0.52287874528033762</c:v>
                </c:pt>
                <c:pt idx="46">
                  <c:v>0.51570016065321422</c:v>
                </c:pt>
                <c:pt idx="47">
                  <c:v>0.50863830616572736</c:v>
                </c:pt>
                <c:pt idx="48">
                  <c:v>0.50168944621039946</c:v>
                </c:pt>
                <c:pt idx="49">
                  <c:v>0.49485002168009401</c:v>
                </c:pt>
                <c:pt idx="50">
                  <c:v>0.48811663902112562</c:v>
                </c:pt>
                <c:pt idx="51">
                  <c:v>0.48148606012211248</c:v>
                </c:pt>
                <c:pt idx="52">
                  <c:v>0.47495519296315475</c:v>
                </c:pt>
                <c:pt idx="53">
                  <c:v>0.46852108295774486</c:v>
                </c:pt>
                <c:pt idx="54">
                  <c:v>0.46218090492672592</c:v>
                </c:pt>
                <c:pt idx="55">
                  <c:v>0.45593195564972439</c:v>
                </c:pt>
                <c:pt idx="56">
                  <c:v>0.44977164694490596</c:v>
                </c:pt>
                <c:pt idx="57">
                  <c:v>0.44369749923271273</c:v>
                </c:pt>
                <c:pt idx="58">
                  <c:v>0.43770713554352531</c:v>
                </c:pt>
                <c:pt idx="59">
                  <c:v>0.43179827593300502</c:v>
                </c:pt>
                <c:pt idx="60">
                  <c:v>0.42596873227228116</c:v>
                </c:pt>
                <c:pt idx="61">
                  <c:v>0.42021640338318983</c:v>
                </c:pt>
                <c:pt idx="62">
                  <c:v>0.4145392704914993</c:v>
                </c:pt>
                <c:pt idx="63">
                  <c:v>0.40893539297350079</c:v>
                </c:pt>
                <c:pt idx="64">
                  <c:v>0.40340290437353976</c:v>
                </c:pt>
                <c:pt idx="65">
                  <c:v>0.3979400086720376</c:v>
                </c:pt>
                <c:pt idx="66">
                  <c:v>0.3925449767853314</c:v>
                </c:pt>
                <c:pt idx="67">
                  <c:v>0.38721614328026455</c:v>
                </c:pt>
                <c:pt idx="68">
                  <c:v>0.38195190328790729</c:v>
                </c:pt>
                <c:pt idx="69">
                  <c:v>0.37675070960209955</c:v>
                </c:pt>
                <c:pt idx="70">
                  <c:v>0.37161106994968846</c:v>
                </c:pt>
                <c:pt idx="71">
                  <c:v>0.36653154442041347</c:v>
                </c:pt>
                <c:pt idx="72">
                  <c:v>0.36151074304536268</c:v>
                </c:pt>
                <c:pt idx="73">
                  <c:v>0.35654732351381258</c:v>
                </c:pt>
                <c:pt idx="74">
                  <c:v>0.3516399890190684</c:v>
                </c:pt>
                <c:pt idx="75">
                  <c:v>0.34678748622465633</c:v>
                </c:pt>
                <c:pt idx="76">
                  <c:v>0.34198860334288755</c:v>
                </c:pt>
                <c:pt idx="77">
                  <c:v>0.33724216831842591</c:v>
                </c:pt>
                <c:pt idx="78">
                  <c:v>0.33254704711004607</c:v>
                </c:pt>
                <c:pt idx="79">
                  <c:v>0.32790214206428259</c:v>
                </c:pt>
                <c:pt idx="80">
                  <c:v>0.32330639037513342</c:v>
                </c:pt>
                <c:pt idx="81">
                  <c:v>0.31875876262441277</c:v>
                </c:pt>
                <c:pt idx="82">
                  <c:v>0.31425826139773638</c:v>
                </c:pt>
                <c:pt idx="83">
                  <c:v>0.30980391997148632</c:v>
                </c:pt>
                <c:pt idx="84">
                  <c:v>0.3053948010664313</c:v>
                </c:pt>
                <c:pt idx="85">
                  <c:v>0.3010299956639812</c:v>
                </c:pt>
                <c:pt idx="86">
                  <c:v>0.29670862188133862</c:v>
                </c:pt>
                <c:pt idx="87">
                  <c:v>0.29242982390206362</c:v>
                </c:pt>
                <c:pt idx="88">
                  <c:v>0.28819277095880896</c:v>
                </c:pt>
                <c:pt idx="89">
                  <c:v>0.28399665636520083</c:v>
                </c:pt>
                <c:pt idx="90">
                  <c:v>0.27984069659404309</c:v>
                </c:pt>
                <c:pt idx="91">
                  <c:v>0.27572413039921095</c:v>
                </c:pt>
                <c:pt idx="92">
                  <c:v>0.27164621797877153</c:v>
                </c:pt>
                <c:pt idx="93">
                  <c:v>0.26760624017703144</c:v>
                </c:pt>
                <c:pt idx="94">
                  <c:v>0.2636034977233575</c:v>
                </c:pt>
                <c:pt idx="95">
                  <c:v>0.25963731050575611</c:v>
                </c:pt>
                <c:pt idx="96">
                  <c:v>0.25570701687732372</c:v>
                </c:pt>
                <c:pt idx="97">
                  <c:v>0.25181197299379954</c:v>
                </c:pt>
                <c:pt idx="98">
                  <c:v>0.2479515521805615</c:v>
                </c:pt>
                <c:pt idx="99">
                  <c:v>0.24412514432750865</c:v>
                </c:pt>
                <c:pt idx="100">
                  <c:v>0.24033215531036956</c:v>
                </c:pt>
                <c:pt idx="101">
                  <c:v>0.23657200643706275</c:v>
                </c:pt>
                <c:pt idx="102">
                  <c:v>0.23284413391781958</c:v>
                </c:pt>
                <c:pt idx="103">
                  <c:v>0.22914798835785583</c:v>
                </c:pt>
                <c:pt idx="104">
                  <c:v>0.22548303427145044</c:v>
                </c:pt>
                <c:pt idx="105">
                  <c:v>0.22184874961635639</c:v>
                </c:pt>
                <c:pt idx="106">
                  <c:v>0.21824462534753111</c:v>
                </c:pt>
                <c:pt idx="107">
                  <c:v>0.21467016498923297</c:v>
                </c:pt>
                <c:pt idx="108">
                  <c:v>0.21112488422458328</c:v>
                </c:pt>
                <c:pt idx="109">
                  <c:v>0.20760831050174613</c:v>
                </c:pt>
                <c:pt idx="110">
                  <c:v>0.20411998265592479</c:v>
                </c:pt>
                <c:pt idx="111">
                  <c:v>0.20065945054641829</c:v>
                </c:pt>
                <c:pt idx="112">
                  <c:v>0.19722627470802431</c:v>
                </c:pt>
                <c:pt idx="113">
                  <c:v>0.19382002601611281</c:v>
                </c:pt>
                <c:pt idx="114">
                  <c:v>0.19044028536473223</c:v>
                </c:pt>
                <c:pt idx="115">
                  <c:v>0.18708664335714442</c:v>
                </c:pt>
                <c:pt idx="116">
                  <c:v>0.18375870000821692</c:v>
                </c:pt>
                <c:pt idx="117">
                  <c:v>0.18045606445813131</c:v>
                </c:pt>
                <c:pt idx="118">
                  <c:v>0.17717835469689538</c:v>
                </c:pt>
                <c:pt idx="119">
                  <c:v>0.17392519729917355</c:v>
                </c:pt>
                <c:pt idx="120">
                  <c:v>0.17069622716897506</c:v>
                </c:pt>
                <c:pt idx="121">
                  <c:v>0.16749108729376366</c:v>
                </c:pt>
                <c:pt idx="122">
                  <c:v>0.16430942850757441</c:v>
                </c:pt>
                <c:pt idx="123">
                  <c:v>0.16115090926274472</c:v>
                </c:pt>
                <c:pt idx="124">
                  <c:v>0.15801519540988615</c:v>
                </c:pt>
                <c:pt idx="125">
                  <c:v>0.15490195998574319</c:v>
                </c:pt>
                <c:pt idx="126">
                  <c:v>0.15181088300860132</c:v>
                </c:pt>
                <c:pt idx="127">
                  <c:v>0.14874165128092473</c:v>
                </c:pt>
                <c:pt idx="128">
                  <c:v>0.14569395819891939</c:v>
                </c:pt>
                <c:pt idx="129">
                  <c:v>0.14266750356873156</c:v>
                </c:pt>
                <c:pt idx="130">
                  <c:v>0.13966199342900631</c:v>
                </c:pt>
                <c:pt idx="131">
                  <c:v>0.13667713987954411</c:v>
                </c:pt>
                <c:pt idx="132">
                  <c:v>0.13371266091580511</c:v>
                </c:pt>
                <c:pt idx="133">
                  <c:v>0.13076828026902382</c:v>
                </c:pt>
                <c:pt idx="134">
                  <c:v>0.12784372725170717</c:v>
                </c:pt>
                <c:pt idx="135">
                  <c:v>0.12493873660829995</c:v>
                </c:pt>
                <c:pt idx="136">
                  <c:v>0.12205304837081175</c:v>
                </c:pt>
                <c:pt idx="137">
                  <c:v>0.11918640771920865</c:v>
                </c:pt>
                <c:pt idx="138">
                  <c:v>0.11633856484638239</c:v>
                </c:pt>
                <c:pt idx="139">
                  <c:v>0.11350927482751812</c:v>
                </c:pt>
                <c:pt idx="140">
                  <c:v>0.1106982974936897</c:v>
                </c:pt>
                <c:pt idx="141">
                  <c:v>0.10790539730951958</c:v>
                </c:pt>
                <c:pt idx="142">
                  <c:v>0.10513034325474745</c:v>
                </c:pt>
                <c:pt idx="143">
                  <c:v>0.10237290870955855</c:v>
                </c:pt>
                <c:pt idx="144">
                  <c:v>9.9632871343529689E-2</c:v>
                </c:pt>
                <c:pt idx="145">
                  <c:v>9.6910013008056392E-2</c:v>
                </c:pt>
                <c:pt idx="146">
                  <c:v>9.4204119632131461E-2</c:v>
                </c:pt>
                <c:pt idx="147">
                  <c:v>9.1514981121350217E-2</c:v>
                </c:pt>
                <c:pt idx="148">
                  <c:v>8.8842391260023412E-2</c:v>
                </c:pt>
                <c:pt idx="149">
                  <c:v>8.6186147616283335E-2</c:v>
                </c:pt>
                <c:pt idx="150">
                  <c:v>8.3546051450074932E-2</c:v>
                </c:pt>
                <c:pt idx="151">
                  <c:v>8.092190762392612E-2</c:v>
                </c:pt>
                <c:pt idx="152">
                  <c:v>7.8313524516397934E-2</c:v>
                </c:pt>
                <c:pt idx="153">
                  <c:v>7.5720713938118356E-2</c:v>
                </c:pt>
                <c:pt idx="154">
                  <c:v>7.3143291050307674E-2</c:v>
                </c:pt>
                <c:pt idx="155">
                  <c:v>7.0581074285707285E-2</c:v>
                </c:pt>
                <c:pt idx="156">
                  <c:v>6.8033885271827368E-2</c:v>
                </c:pt>
                <c:pt idx="157">
                  <c:v>6.5501548756432285E-2</c:v>
                </c:pt>
                <c:pt idx="158">
                  <c:v>6.2983892535185784E-2</c:v>
                </c:pt>
                <c:pt idx="159">
                  <c:v>6.0480747381381476E-2</c:v>
                </c:pt>
                <c:pt idx="160">
                  <c:v>5.7991946977686754E-2</c:v>
                </c:pt>
                <c:pt idx="161">
                  <c:v>5.551732784983137E-2</c:v>
                </c:pt>
                <c:pt idx="162">
                  <c:v>5.305672930217456E-2</c:v>
                </c:pt>
                <c:pt idx="163">
                  <c:v>5.0609993355087209E-2</c:v>
                </c:pt>
                <c:pt idx="164">
                  <c:v>4.8176964684088018E-2</c:v>
                </c:pt>
                <c:pt idx="165">
                  <c:v>4.5757490560675115E-2</c:v>
                </c:pt>
                <c:pt idx="166">
                  <c:v>4.3351420794796675E-2</c:v>
                </c:pt>
                <c:pt idx="167">
                  <c:v>4.0958607678906384E-2</c:v>
                </c:pt>
                <c:pt idx="168">
                  <c:v>3.8578905933551705E-2</c:v>
                </c:pt>
                <c:pt idx="169">
                  <c:v>3.6212172654444715E-2</c:v>
                </c:pt>
                <c:pt idx="170">
                  <c:v>3.385826726096737E-2</c:v>
                </c:pt>
                <c:pt idx="171">
                  <c:v>3.1517051446064863E-2</c:v>
                </c:pt>
                <c:pt idx="172">
                  <c:v>2.91883891274822E-2</c:v>
                </c:pt>
                <c:pt idx="173">
                  <c:v>2.6872146400301365E-2</c:v>
                </c:pt>
                <c:pt idx="174">
                  <c:v>2.4568191490737076E-2</c:v>
                </c:pt>
                <c:pt idx="175">
                  <c:v>2.2276394711152253E-2</c:v>
                </c:pt>
                <c:pt idx="176">
                  <c:v>1.9996628416253676E-2</c:v>
                </c:pt>
                <c:pt idx="177">
                  <c:v>1.7728766960431602E-2</c:v>
                </c:pt>
                <c:pt idx="178">
                  <c:v>1.5472686656207449E-2</c:v>
                </c:pt>
                <c:pt idx="179">
                  <c:v>1.322826573375516E-2</c:v>
                </c:pt>
                <c:pt idx="180">
                  <c:v>1.0995384301463193E-2</c:v>
                </c:pt>
                <c:pt idx="181">
                  <c:v>8.7739243075051505E-3</c:v>
                </c:pt>
                <c:pt idx="182">
                  <c:v>6.5637695023882739E-3</c:v>
                </c:pt>
                <c:pt idx="183">
                  <c:v>4.3648054024500883E-3</c:v>
                </c:pt>
                <c:pt idx="184">
                  <c:v>2.176919254274547E-3</c:v>
                </c:pt>
                <c:pt idx="185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24C-44ED-AC44-C0DD4DADC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271232"/>
        <c:axId val="230285312"/>
      </c:scatterChart>
      <c:valAx>
        <c:axId val="230271232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230285312"/>
        <c:crosses val="autoZero"/>
        <c:crossBetween val="midCat"/>
      </c:valAx>
      <c:valAx>
        <c:axId val="23028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271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787029746283774"/>
                  <c:y val="-2.1637139107612252E-2"/>
                </c:manualLayout>
              </c:layout>
              <c:numFmt formatCode="General" sourceLinked="0"/>
            </c:trendlineLbl>
          </c:trendline>
          <c:xVal>
            <c:numRef>
              <c:f>P_Aprov!$B$2:$B$193</c:f>
              <c:numCache>
                <c:formatCode>0.000</c:formatCode>
                <c:ptCount val="192"/>
                <c:pt idx="0">
                  <c:v>69.84909255050033</c:v>
                </c:pt>
                <c:pt idx="1">
                  <c:v>67.478238117304727</c:v>
                </c:pt>
                <c:pt idx="2">
                  <c:v>65.333539404443329</c:v>
                </c:pt>
                <c:pt idx="3">
                  <c:v>63.375582881676493</c:v>
                </c:pt>
                <c:pt idx="4">
                  <c:v>61.574437479644786</c:v>
                </c:pt>
                <c:pt idx="5">
                  <c:v>59.906837304960781</c:v>
                </c:pt>
                <c:pt idx="6">
                  <c:v>58.354338684367875</c:v>
                </c:pt>
                <c:pt idx="7">
                  <c:v>56.90207321285267</c:v>
                </c:pt>
                <c:pt idx="8">
                  <c:v>55.537879496668765</c:v>
                </c:pt>
                <c:pt idx="9">
                  <c:v>54.251683448739648</c:v>
                </c:pt>
                <c:pt idx="10">
                  <c:v>53.035046358090788</c:v>
                </c:pt>
                <c:pt idx="11">
                  <c:v>51.880829015544045</c:v>
                </c:pt>
                <c:pt idx="12">
                  <c:v>50.782937872023929</c:v>
                </c:pt>
                <c:pt idx="13">
                  <c:v>49.736130302682639</c:v>
                </c:pt>
                <c:pt idx="14">
                  <c:v>48.735863194113378</c:v>
                </c:pt>
                <c:pt idx="15">
                  <c:v>47.778173779915811</c:v>
                </c:pt>
                <c:pt idx="16">
                  <c:v>46.859584818235412</c:v>
                </c:pt>
                <c:pt idx="17">
                  <c:v>45.977028377884096</c:v>
                </c:pt>
                <c:pt idx="18">
                  <c:v>45.127784015802789</c:v>
                </c:pt>
                <c:pt idx="19">
                  <c:v>44.309428203200099</c:v>
                </c:pt>
                <c:pt idx="20">
                  <c:v>43.519792630312182</c:v>
                </c:pt>
                <c:pt idx="21">
                  <c:v>42.756929582607185</c:v>
                </c:pt>
                <c:pt idx="22">
                  <c:v>42.019082996357952</c:v>
                </c:pt>
                <c:pt idx="23">
                  <c:v>41.304664111091974</c:v>
                </c:pt>
                <c:pt idx="24">
                  <c:v>40.612230869745787</c:v>
                </c:pt>
                <c:pt idx="25">
                  <c:v>39.940470394908075</c:v>
                </c:pt>
                <c:pt idx="26">
                  <c:v>39.28818400589148</c:v>
                </c:pt>
                <c:pt idx="27">
                  <c:v>38.654274346978958</c:v>
                </c:pt>
                <c:pt idx="28">
                  <c:v>38.037734279636588</c:v>
                </c:pt>
                <c:pt idx="29">
                  <c:v>37.437637256330099</c:v>
                </c:pt>
                <c:pt idx="30">
                  <c:v>36.853128944947244</c:v>
                </c:pt>
                <c:pt idx="31">
                  <c:v>36.283419913783348</c:v>
                </c:pt>
                <c:pt idx="32">
                  <c:v>35.727779219909102</c:v>
                </c:pt>
                <c:pt idx="33">
                  <c:v>35.185528770263247</c:v>
                </c:pt>
                <c:pt idx="34">
                  <c:v>34.656038346341688</c:v>
                </c:pt>
                <c:pt idx="35">
                  <c:v>34.13872120092195</c:v>
                </c:pt>
                <c:pt idx="36">
                  <c:v>33.633030149670333</c:v>
                </c:pt>
                <c:pt idx="37">
                  <c:v>33.138454092352696</c:v>
                </c:pt>
                <c:pt idx="38">
                  <c:v>32.654514908200191</c:v>
                </c:pt>
                <c:pt idx="39">
                  <c:v>32.180764678155121</c:v>
                </c:pt>
                <c:pt idx="40">
                  <c:v>31.716783193547535</c:v>
                </c:pt>
                <c:pt idx="41">
                  <c:v>31.262175716474733</c:v>
                </c:pt>
                <c:pt idx="42">
                  <c:v>30.816570961971234</c:v>
                </c:pt>
                <c:pt idx="43">
                  <c:v>30.379619276123417</c:v>
                </c:pt>
                <c:pt idx="44">
                  <c:v>29.950990987730158</c:v>
                </c:pt>
                <c:pt idx="45">
                  <c:v>29.530374914042103</c:v>
                </c:pt>
                <c:pt idx="46">
                  <c:v>29.117477003613331</c:v>
                </c:pt>
                <c:pt idx="47">
                  <c:v>28.712019101439417</c:v>
                </c:pt>
                <c:pt idx="48">
                  <c:v>28.31373782339325</c:v>
                </c:pt>
                <c:pt idx="49">
                  <c:v>27.922383528551496</c:v>
                </c:pt>
                <c:pt idx="50">
                  <c:v>27.53771937936979</c:v>
                </c:pt>
                <c:pt idx="51">
                  <c:v>27.159520480846506</c:v>
                </c:pt>
                <c:pt idx="52">
                  <c:v>26.787573090840112</c:v>
                </c:pt>
                <c:pt idx="53">
                  <c:v>26.421673894597269</c:v>
                </c:pt>
                <c:pt idx="54">
                  <c:v>26.061629337326394</c:v>
                </c:pt>
                <c:pt idx="55">
                  <c:v>25.707255009331295</c:v>
                </c:pt>
                <c:pt idx="56">
                  <c:v>25.358375078814799</c:v>
                </c:pt>
                <c:pt idx="57">
                  <c:v>25.014821767985101</c:v>
                </c:pt>
                <c:pt idx="58">
                  <c:v>24.676434868557241</c:v>
                </c:pt>
                <c:pt idx="59">
                  <c:v>24.3430612931474</c:v>
                </c:pt>
                <c:pt idx="60">
                  <c:v>24.01455465941585</c:v>
                </c:pt>
                <c:pt idx="61">
                  <c:v>23.690774904130798</c:v>
                </c:pt>
                <c:pt idx="62">
                  <c:v>23.371587924606526</c:v>
                </c:pt>
                <c:pt idx="63">
                  <c:v>23.056865245218276</c:v>
                </c:pt>
                <c:pt idx="64">
                  <c:v>22.746483706918408</c:v>
                </c:pt>
                <c:pt idx="65">
                  <c:v>22.440325177875906</c:v>
                </c:pt>
                <c:pt idx="66">
                  <c:v>22.138276283537884</c:v>
                </c:pt>
                <c:pt idx="67">
                  <c:v>21.84022815456942</c:v>
                </c:pt>
                <c:pt idx="68">
                  <c:v>21.546076191269393</c:v>
                </c:pt>
                <c:pt idx="69">
                  <c:v>21.255719843186569</c:v>
                </c:pt>
                <c:pt idx="70">
                  <c:v>20.969062402774082</c:v>
                </c:pt>
                <c:pt idx="71">
                  <c:v>20.686010812022673</c:v>
                </c:pt>
                <c:pt idx="72">
                  <c:v>20.406475481105254</c:v>
                </c:pt>
                <c:pt idx="73">
                  <c:v>20.130370118148424</c:v>
                </c:pt>
                <c:pt idx="74">
                  <c:v>19.85761156932162</c:v>
                </c:pt>
                <c:pt idx="75">
                  <c:v>19.588119668502568</c:v>
                </c:pt>
                <c:pt idx="76">
                  <c:v>19.321817095838782</c:v>
                </c:pt>
                <c:pt idx="77">
                  <c:v>19.058629244581009</c:v>
                </c:pt>
                <c:pt idx="78">
                  <c:v>18.798484095614647</c:v>
                </c:pt>
                <c:pt idx="79">
                  <c:v>18.541312099161274</c:v>
                </c:pt>
                <c:pt idx="80">
                  <c:v>18.287046063164166</c:v>
                </c:pt>
                <c:pt idx="81">
                  <c:v>18.035621047909654</c:v>
                </c:pt>
                <c:pt idx="82">
                  <c:v>17.786974266470857</c:v>
                </c:pt>
                <c:pt idx="83">
                  <c:v>17.541044990592017</c:v>
                </c:pt>
                <c:pt idx="84">
                  <c:v>17.297774461660417</c:v>
                </c:pt>
                <c:pt idx="85">
                  <c:v>17.057105806439512</c:v>
                </c:pt>
                <c:pt idx="86">
                  <c:v>16.818983957260798</c:v>
                </c:pt>
                <c:pt idx="87">
                  <c:v>16.583355576394446</c:v>
                </c:pt>
                <c:pt idx="88">
                  <c:v>16.350168984338673</c:v>
                </c:pt>
                <c:pt idx="89">
                  <c:v>16.119374091786856</c:v>
                </c:pt>
                <c:pt idx="90">
                  <c:v>15.890922335048254</c:v>
                </c:pt>
                <c:pt idx="91">
                  <c:v>15.664766614714052</c:v>
                </c:pt>
                <c:pt idx="92">
                  <c:v>15.440861237375058</c:v>
                </c:pt>
                <c:pt idx="93">
                  <c:v>15.219161860210551</c:v>
                </c:pt>
                <c:pt idx="94">
                  <c:v>14.999625438280258</c:v>
                </c:pt>
                <c:pt idx="95">
                  <c:v>14.782210174362737</c:v>
                </c:pt>
                <c:pt idx="96">
                  <c:v>14.566875471193942</c:v>
                </c:pt>
                <c:pt idx="97">
                  <c:v>14.353581885969479</c:v>
                </c:pt>
                <c:pt idx="98">
                  <c:v>14.142291086982981</c:v>
                </c:pt>
                <c:pt idx="99">
                  <c:v>13.932965812281422</c:v>
                </c:pt>
                <c:pt idx="100">
                  <c:v>13.725569830225778</c:v>
                </c:pt>
                <c:pt idx="101">
                  <c:v>13.520067901852649</c:v>
                </c:pt>
                <c:pt idx="102">
                  <c:v>13.316425744939053</c:v>
                </c:pt>
                <c:pt idx="103">
                  <c:v>13.114609999678732</c:v>
                </c:pt>
                <c:pt idx="104">
                  <c:v>12.914588195884015</c:v>
                </c:pt>
                <c:pt idx="105">
                  <c:v>12.716328721632571</c:v>
                </c:pt>
                <c:pt idx="106">
                  <c:v>12.519800793283396</c:v>
                </c:pt>
                <c:pt idx="107">
                  <c:v>12.324974426790815</c:v>
                </c:pt>
                <c:pt idx="108">
                  <c:v>12.131820410249718</c:v>
                </c:pt>
                <c:pt idx="109">
                  <c:v>11.940310277609109</c:v>
                </c:pt>
                <c:pt idx="110">
                  <c:v>11.750416283494841</c:v>
                </c:pt>
                <c:pt idx="111">
                  <c:v>11.562111379085822</c:v>
                </c:pt>
                <c:pt idx="112">
                  <c:v>11.375369188991248</c:v>
                </c:pt>
                <c:pt idx="113">
                  <c:v>11.190163989079428</c:v>
                </c:pt>
                <c:pt idx="114">
                  <c:v>11.006470685211568</c:v>
                </c:pt>
                <c:pt idx="115">
                  <c:v>10.824264792836587</c:v>
                </c:pt>
                <c:pt idx="116">
                  <c:v>10.643522417405428</c:v>
                </c:pt>
                <c:pt idx="117">
                  <c:v>10.464220235565714</c:v>
                </c:pt>
                <c:pt idx="118">
                  <c:v>10.286335477099705</c:v>
                </c:pt>
                <c:pt idx="119">
                  <c:v>10.109845907570611</c:v>
                </c:pt>
                <c:pt idx="120">
                  <c:v>9.9347298116441554</c:v>
                </c:pt>
                <c:pt idx="121">
                  <c:v>9.7609659770541146</c:v>
                </c:pt>
                <c:pt idx="122">
                  <c:v>9.5885336791822233</c:v>
                </c:pt>
                <c:pt idx="123">
                  <c:v>9.4174126662244202</c:v>
                </c:pt>
                <c:pt idx="124">
                  <c:v>9.2475831449168577</c:v>
                </c:pt>
                <c:pt idx="125">
                  <c:v>9.0790257667965566</c:v>
                </c:pt>
                <c:pt idx="126">
                  <c:v>8.9117216149727998</c:v>
                </c:pt>
                <c:pt idx="127">
                  <c:v>8.7456521913867178</c:v>
                </c:pt>
                <c:pt idx="128">
                  <c:v>8.5807994045375331</c:v>
                </c:pt>
                <c:pt idx="129">
                  <c:v>8.4171455576551661</c:v>
                </c:pt>
                <c:pt idx="130">
                  <c:v>8.2546733372997991</c:v>
                </c:pt>
                <c:pt idx="131">
                  <c:v>8.093365802370112</c:v>
                </c:pt>
                <c:pt idx="132">
                  <c:v>7.9332063735026583</c:v>
                </c:pt>
                <c:pt idx="133">
                  <c:v>7.7741788228458404</c:v>
                </c:pt>
                <c:pt idx="134">
                  <c:v>7.6162672641927136</c:v>
                </c:pt>
                <c:pt idx="135">
                  <c:v>7.4594561434575937</c:v>
                </c:pt>
                <c:pt idx="136">
                  <c:v>7.3037302294821922</c:v>
                </c:pt>
                <c:pt idx="137">
                  <c:v>7.1490746051577254</c:v>
                </c:pt>
                <c:pt idx="138">
                  <c:v>6.9954746588500054</c:v>
                </c:pt>
                <c:pt idx="139">
                  <c:v>6.8429160761152232</c:v>
                </c:pt>
                <c:pt idx="140">
                  <c:v>6.6913848316946716</c:v>
                </c:pt>
                <c:pt idx="141">
                  <c:v>6.5408671817771991</c:v>
                </c:pt>
                <c:pt idx="142">
                  <c:v>6.3913496565187433</c:v>
                </c:pt>
                <c:pt idx="143">
                  <c:v>6.2428190528087377</c:v>
                </c:pt>
                <c:pt idx="144">
                  <c:v>6.0952624272736982</c:v>
                </c:pt>
                <c:pt idx="145">
                  <c:v>5.9486670895087101</c:v>
                </c:pt>
                <c:pt idx="146">
                  <c:v>5.803020595527963</c:v>
                </c:pt>
                <c:pt idx="147">
                  <c:v>5.6583107414258844</c:v>
                </c:pt>
                <c:pt idx="148">
                  <c:v>5.5145255572408001</c:v>
                </c:pt>
                <c:pt idx="149">
                  <c:v>5.3716533010133958</c:v>
                </c:pt>
                <c:pt idx="150">
                  <c:v>5.229682453032626</c:v>
                </c:pt>
                <c:pt idx="151">
                  <c:v>5.0886017102619885</c:v>
                </c:pt>
                <c:pt idx="152">
                  <c:v>4.9483999809394534</c:v>
                </c:pt>
                <c:pt idx="153">
                  <c:v>4.8090663793445705</c:v>
                </c:pt>
                <c:pt idx="154">
                  <c:v>4.6705902207266012</c:v>
                </c:pt>
                <c:pt idx="155">
                  <c:v>4.5329610163877367</c:v>
                </c:pt>
                <c:pt idx="156">
                  <c:v>4.3961684689157989</c:v>
                </c:pt>
                <c:pt idx="157">
                  <c:v>4.260202467560938</c:v>
                </c:pt>
                <c:pt idx="158">
                  <c:v>4.1250530837511876</c:v>
                </c:pt>
                <c:pt idx="159">
                  <c:v>3.9907105667418832</c:v>
                </c:pt>
                <c:pt idx="160">
                  <c:v>3.8571653393941796</c:v>
                </c:pt>
                <c:pt idx="161">
                  <c:v>3.7244079940780974</c:v>
                </c:pt>
                <c:pt idx="162">
                  <c:v>3.5924292886957181</c:v>
                </c:pt>
                <c:pt idx="163">
                  <c:v>3.4612201428203253</c:v>
                </c:pt>
                <c:pt idx="164">
                  <c:v>3.3307716339474496</c:v>
                </c:pt>
                <c:pt idx="165">
                  <c:v>3.2010749938539624</c:v>
                </c:pt>
                <c:pt idx="166">
                  <c:v>3.0721216050614899</c:v>
                </c:pt>
                <c:pt idx="167">
                  <c:v>2.9439029974005892</c:v>
                </c:pt>
                <c:pt idx="168">
                  <c:v>2.8164108446722569</c:v>
                </c:pt>
                <c:pt idx="169">
                  <c:v>2.6896369614034823</c:v>
                </c:pt>
                <c:pt idx="170">
                  <c:v>2.5635732996936795</c:v>
                </c:pt>
                <c:pt idx="171">
                  <c:v>2.4382119461489697</c:v>
                </c:pt>
                <c:pt idx="172">
                  <c:v>2.313545118901382</c:v>
                </c:pt>
                <c:pt idx="173">
                  <c:v>2.1895651647101753</c:v>
                </c:pt>
                <c:pt idx="174">
                  <c:v>2.0662645561425754</c:v>
                </c:pt>
                <c:pt idx="175">
                  <c:v>1.9436358888313323</c:v>
                </c:pt>
                <c:pt idx="176">
                  <c:v>1.8216718788065995</c:v>
                </c:pt>
                <c:pt idx="177">
                  <c:v>1.7003653598997339</c:v>
                </c:pt>
                <c:pt idx="178">
                  <c:v>1.5797092812166942</c:v>
                </c:pt>
                <c:pt idx="179">
                  <c:v>1.459696704678827</c:v>
                </c:pt>
                <c:pt idx="180">
                  <c:v>1.340320802628864</c:v>
                </c:pt>
                <c:pt idx="181">
                  <c:v>1.2215748555001167</c:v>
                </c:pt>
                <c:pt idx="182">
                  <c:v>1.1034522495468224</c:v>
                </c:pt>
                <c:pt idx="183">
                  <c:v>0.98594647463376162</c:v>
                </c:pt>
                <c:pt idx="184">
                  <c:v>0.86905112208328739</c:v>
                </c:pt>
                <c:pt idx="185">
                  <c:v>0.75275988257798754</c:v>
                </c:pt>
                <c:pt idx="186">
                  <c:v>0.63706654411726393</c:v>
                </c:pt>
                <c:pt idx="187">
                  <c:v>0.52196499002617358</c:v>
                </c:pt>
                <c:pt idx="188">
                  <c:v>0.40744919701493637</c:v>
                </c:pt>
                <c:pt idx="189">
                  <c:v>0.29351323328756934</c:v>
                </c:pt>
                <c:pt idx="190">
                  <c:v>0.18015125669816304</c:v>
                </c:pt>
                <c:pt idx="191">
                  <c:v>6.7357512953367865E-2</c:v>
                </c:pt>
              </c:numCache>
            </c:numRef>
          </c:xVal>
          <c:yVal>
            <c:numRef>
              <c:f>P_Aprov!$C$2:$C$193</c:f>
              <c:numCache>
                <c:formatCode>General</c:formatCode>
                <c:ptCount val="192"/>
                <c:pt idx="0">
                  <c:v>1.3467874862246563</c:v>
                </c:pt>
                <c:pt idx="1">
                  <c:v>1.3010299956639813</c:v>
                </c:pt>
                <c:pt idx="2">
                  <c:v>1.2596373105057561</c:v>
                </c:pt>
                <c:pt idx="3">
                  <c:v>1.2218487496163564</c:v>
                </c:pt>
                <c:pt idx="4">
                  <c:v>1.1870866433571443</c:v>
                </c:pt>
                <c:pt idx="5">
                  <c:v>1.1549019599857431</c:v>
                </c:pt>
                <c:pt idx="6">
                  <c:v>1.1249387366082999</c:v>
                </c:pt>
                <c:pt idx="7">
                  <c:v>1.0969100130080565</c:v>
                </c:pt>
                <c:pt idx="8">
                  <c:v>1.0705810742857071</c:v>
                </c:pt>
                <c:pt idx="9">
                  <c:v>1.0457574905606752</c:v>
                </c:pt>
                <c:pt idx="10">
                  <c:v>1.0222763947111522</c:v>
                </c:pt>
                <c:pt idx="11">
                  <c:v>1</c:v>
                </c:pt>
                <c:pt idx="12">
                  <c:v>0.97881070093006195</c:v>
                </c:pt>
                <c:pt idx="13">
                  <c:v>0.95860731484177497</c:v>
                </c:pt>
                <c:pt idx="14">
                  <c:v>0.9393021596463883</c:v>
                </c:pt>
                <c:pt idx="15">
                  <c:v>0.92081875395237522</c:v>
                </c:pt>
                <c:pt idx="16">
                  <c:v>0.90308998699194354</c:v>
                </c:pt>
                <c:pt idx="17">
                  <c:v>0.88605664769316317</c:v>
                </c:pt>
                <c:pt idx="18">
                  <c:v>0.86966623150499389</c:v>
                </c:pt>
                <c:pt idx="19">
                  <c:v>0.85387196432176193</c:v>
                </c:pt>
                <c:pt idx="20">
                  <c:v>0.83863199776502517</c:v>
                </c:pt>
                <c:pt idx="21">
                  <c:v>0.82390874094431876</c:v>
                </c:pt>
                <c:pt idx="22">
                  <c:v>0.8096683018297085</c:v>
                </c:pt>
                <c:pt idx="23">
                  <c:v>0.79588001734407521</c:v>
                </c:pt>
                <c:pt idx="24">
                  <c:v>0.78251605578609373</c:v>
                </c:pt>
                <c:pt idx="25">
                  <c:v>0.769551078621726</c:v>
                </c:pt>
                <c:pt idx="26">
                  <c:v>0.75696195131370558</c:v>
                </c:pt>
                <c:pt idx="27">
                  <c:v>0.74472749489669399</c:v>
                </c:pt>
                <c:pt idx="28">
                  <c:v>0.73282827159698616</c:v>
                </c:pt>
                <c:pt idx="29">
                  <c:v>0.72124639904717103</c:v>
                </c:pt>
                <c:pt idx="30">
                  <c:v>0.70996538863748193</c:v>
                </c:pt>
                <c:pt idx="31">
                  <c:v>0.69897000433601875</c:v>
                </c:pt>
                <c:pt idx="32">
                  <c:v>0.68824613894424569</c:v>
                </c:pt>
                <c:pt idx="33">
                  <c:v>0.6777807052660807</c:v>
                </c:pt>
                <c:pt idx="34">
                  <c:v>0.66756154008439472</c:v>
                </c:pt>
                <c:pt idx="35">
                  <c:v>0.65757731917779372</c:v>
                </c:pt>
                <c:pt idx="36">
                  <c:v>0.64781748188863753</c:v>
                </c:pt>
                <c:pt idx="37">
                  <c:v>0.63827216398240705</c:v>
                </c:pt>
                <c:pt idx="38">
                  <c:v>0.62893213772826373</c:v>
                </c:pt>
                <c:pt idx="39">
                  <c:v>0.61978875828839397</c:v>
                </c:pt>
                <c:pt idx="40">
                  <c:v>0.61083391563546752</c:v>
                </c:pt>
                <c:pt idx="41">
                  <c:v>0.6020599913279624</c:v>
                </c:pt>
                <c:pt idx="42">
                  <c:v>0.59345981956604488</c:v>
                </c:pt>
                <c:pt idx="43">
                  <c:v>0.58502665202918203</c:v>
                </c:pt>
                <c:pt idx="44">
                  <c:v>0.5767541260631921</c:v>
                </c:pt>
                <c:pt idx="45">
                  <c:v>0.56863623584101264</c:v>
                </c:pt>
                <c:pt idx="46">
                  <c:v>0.56066730616973737</c:v>
                </c:pt>
                <c:pt idx="47">
                  <c:v>0.55284196865778079</c:v>
                </c:pt>
                <c:pt idx="48">
                  <c:v>0.54515513999148979</c:v>
                </c:pt>
                <c:pt idx="49">
                  <c:v>0.53760200210104392</c:v>
                </c:pt>
                <c:pt idx="50">
                  <c:v>0.53017798402183702</c:v>
                </c:pt>
                <c:pt idx="51">
                  <c:v>0.52287874528033762</c:v>
                </c:pt>
                <c:pt idx="52">
                  <c:v>0.51570016065321422</c:v>
                </c:pt>
                <c:pt idx="53">
                  <c:v>0.50863830616572736</c:v>
                </c:pt>
                <c:pt idx="54">
                  <c:v>0.50168944621039946</c:v>
                </c:pt>
                <c:pt idx="55">
                  <c:v>0.49485002168009401</c:v>
                </c:pt>
                <c:pt idx="56">
                  <c:v>0.48811663902112562</c:v>
                </c:pt>
                <c:pt idx="57">
                  <c:v>0.48148606012211248</c:v>
                </c:pt>
                <c:pt idx="58">
                  <c:v>0.47495519296315475</c:v>
                </c:pt>
                <c:pt idx="59">
                  <c:v>0.46852108295774486</c:v>
                </c:pt>
                <c:pt idx="60">
                  <c:v>0.46218090492672592</c:v>
                </c:pt>
                <c:pt idx="61">
                  <c:v>0.45593195564972439</c:v>
                </c:pt>
                <c:pt idx="62">
                  <c:v>0.44977164694490596</c:v>
                </c:pt>
                <c:pt idx="63">
                  <c:v>0.44369749923271273</c:v>
                </c:pt>
                <c:pt idx="64">
                  <c:v>0.43770713554352531</c:v>
                </c:pt>
                <c:pt idx="65">
                  <c:v>0.43179827593300502</c:v>
                </c:pt>
                <c:pt idx="66">
                  <c:v>0.42596873227228116</c:v>
                </c:pt>
                <c:pt idx="67">
                  <c:v>0.42021640338318983</c:v>
                </c:pt>
                <c:pt idx="68">
                  <c:v>0.4145392704914993</c:v>
                </c:pt>
                <c:pt idx="69">
                  <c:v>0.40893539297350079</c:v>
                </c:pt>
                <c:pt idx="70">
                  <c:v>0.40340290437353976</c:v>
                </c:pt>
                <c:pt idx="71">
                  <c:v>0.3979400086720376</c:v>
                </c:pt>
                <c:pt idx="72">
                  <c:v>0.3925449767853314</c:v>
                </c:pt>
                <c:pt idx="73">
                  <c:v>0.38721614328026455</c:v>
                </c:pt>
                <c:pt idx="74">
                  <c:v>0.38195190328790729</c:v>
                </c:pt>
                <c:pt idx="75">
                  <c:v>0.37675070960209955</c:v>
                </c:pt>
                <c:pt idx="76">
                  <c:v>0.37161106994968846</c:v>
                </c:pt>
                <c:pt idx="77">
                  <c:v>0.36653154442041347</c:v>
                </c:pt>
                <c:pt idx="78">
                  <c:v>0.36151074304536268</c:v>
                </c:pt>
                <c:pt idx="79">
                  <c:v>0.35654732351381258</c:v>
                </c:pt>
                <c:pt idx="80">
                  <c:v>0.3516399890190684</c:v>
                </c:pt>
                <c:pt idx="81">
                  <c:v>0.34678748622465633</c:v>
                </c:pt>
                <c:pt idx="82">
                  <c:v>0.34198860334288755</c:v>
                </c:pt>
                <c:pt idx="83">
                  <c:v>0.33724216831842591</c:v>
                </c:pt>
                <c:pt idx="84">
                  <c:v>0.33254704711004607</c:v>
                </c:pt>
                <c:pt idx="85">
                  <c:v>0.32790214206428259</c:v>
                </c:pt>
                <c:pt idx="86">
                  <c:v>0.32330639037513342</c:v>
                </c:pt>
                <c:pt idx="87">
                  <c:v>0.31875876262441277</c:v>
                </c:pt>
                <c:pt idx="88">
                  <c:v>0.31425826139773638</c:v>
                </c:pt>
                <c:pt idx="89">
                  <c:v>0.30980391997148632</c:v>
                </c:pt>
                <c:pt idx="90">
                  <c:v>0.3053948010664313</c:v>
                </c:pt>
                <c:pt idx="91">
                  <c:v>0.3010299956639812</c:v>
                </c:pt>
                <c:pt idx="92">
                  <c:v>0.29670862188133862</c:v>
                </c:pt>
                <c:pt idx="93">
                  <c:v>0.29242982390206362</c:v>
                </c:pt>
                <c:pt idx="94">
                  <c:v>0.28819277095880896</c:v>
                </c:pt>
                <c:pt idx="95">
                  <c:v>0.28399665636520083</c:v>
                </c:pt>
                <c:pt idx="96">
                  <c:v>0.27984069659404309</c:v>
                </c:pt>
                <c:pt idx="97">
                  <c:v>0.27572413039921095</c:v>
                </c:pt>
                <c:pt idx="98">
                  <c:v>0.27164621797877153</c:v>
                </c:pt>
                <c:pt idx="99">
                  <c:v>0.26760624017703144</c:v>
                </c:pt>
                <c:pt idx="100">
                  <c:v>0.2636034977233575</c:v>
                </c:pt>
                <c:pt idx="101">
                  <c:v>0.25963731050575611</c:v>
                </c:pt>
                <c:pt idx="102">
                  <c:v>0.25570701687732372</c:v>
                </c:pt>
                <c:pt idx="103">
                  <c:v>0.25181197299379954</c:v>
                </c:pt>
                <c:pt idx="104">
                  <c:v>0.2479515521805615</c:v>
                </c:pt>
                <c:pt idx="105">
                  <c:v>0.24412514432750865</c:v>
                </c:pt>
                <c:pt idx="106">
                  <c:v>0.24033215531036956</c:v>
                </c:pt>
                <c:pt idx="107">
                  <c:v>0.23657200643706275</c:v>
                </c:pt>
                <c:pt idx="108">
                  <c:v>0.23284413391781958</c:v>
                </c:pt>
                <c:pt idx="109">
                  <c:v>0.22914798835785583</c:v>
                </c:pt>
                <c:pt idx="110">
                  <c:v>0.22548303427145044</c:v>
                </c:pt>
                <c:pt idx="111">
                  <c:v>0.22184874961635639</c:v>
                </c:pt>
                <c:pt idx="112">
                  <c:v>0.21824462534753111</c:v>
                </c:pt>
                <c:pt idx="113">
                  <c:v>0.21467016498923297</c:v>
                </c:pt>
                <c:pt idx="114">
                  <c:v>0.21112488422458328</c:v>
                </c:pt>
                <c:pt idx="115">
                  <c:v>0.20760831050174613</c:v>
                </c:pt>
                <c:pt idx="116">
                  <c:v>0.20411998265592479</c:v>
                </c:pt>
                <c:pt idx="117">
                  <c:v>0.20065945054641829</c:v>
                </c:pt>
                <c:pt idx="118">
                  <c:v>0.19722627470802431</c:v>
                </c:pt>
                <c:pt idx="119">
                  <c:v>0.19382002601611281</c:v>
                </c:pt>
                <c:pt idx="120">
                  <c:v>0.19044028536473223</c:v>
                </c:pt>
                <c:pt idx="121">
                  <c:v>0.18708664335714442</c:v>
                </c:pt>
                <c:pt idx="122">
                  <c:v>0.18375870000821692</c:v>
                </c:pt>
                <c:pt idx="123">
                  <c:v>0.18045606445813131</c:v>
                </c:pt>
                <c:pt idx="124">
                  <c:v>0.17717835469689538</c:v>
                </c:pt>
                <c:pt idx="125">
                  <c:v>0.17392519729917355</c:v>
                </c:pt>
                <c:pt idx="126">
                  <c:v>0.17069622716897506</c:v>
                </c:pt>
                <c:pt idx="127">
                  <c:v>0.16749108729376366</c:v>
                </c:pt>
                <c:pt idx="128">
                  <c:v>0.16430942850757441</c:v>
                </c:pt>
                <c:pt idx="129">
                  <c:v>0.16115090926274472</c:v>
                </c:pt>
                <c:pt idx="130">
                  <c:v>0.15801519540988615</c:v>
                </c:pt>
                <c:pt idx="131">
                  <c:v>0.15490195998574319</c:v>
                </c:pt>
                <c:pt idx="132">
                  <c:v>0.15181088300860132</c:v>
                </c:pt>
                <c:pt idx="133">
                  <c:v>0.14874165128092473</c:v>
                </c:pt>
                <c:pt idx="134">
                  <c:v>0.14569395819891939</c:v>
                </c:pt>
                <c:pt idx="135">
                  <c:v>0.14266750356873156</c:v>
                </c:pt>
                <c:pt idx="136">
                  <c:v>0.13966199342900631</c:v>
                </c:pt>
                <c:pt idx="137">
                  <c:v>0.13667713987954411</c:v>
                </c:pt>
                <c:pt idx="138">
                  <c:v>0.13371266091580511</c:v>
                </c:pt>
                <c:pt idx="139">
                  <c:v>0.13076828026902382</c:v>
                </c:pt>
                <c:pt idx="140">
                  <c:v>0.12784372725170717</c:v>
                </c:pt>
                <c:pt idx="141">
                  <c:v>0.12493873660829995</c:v>
                </c:pt>
                <c:pt idx="142">
                  <c:v>0.12205304837081175</c:v>
                </c:pt>
                <c:pt idx="143">
                  <c:v>0.11918640771920865</c:v>
                </c:pt>
                <c:pt idx="144">
                  <c:v>0.11633856484638239</c:v>
                </c:pt>
                <c:pt idx="145">
                  <c:v>0.11350927482751812</c:v>
                </c:pt>
                <c:pt idx="146">
                  <c:v>0.1106982974936897</c:v>
                </c:pt>
                <c:pt idx="147">
                  <c:v>0.10790539730951958</c:v>
                </c:pt>
                <c:pt idx="148">
                  <c:v>0.10513034325474745</c:v>
                </c:pt>
                <c:pt idx="149">
                  <c:v>0.10237290870955855</c:v>
                </c:pt>
                <c:pt idx="150">
                  <c:v>9.9632871343529689E-2</c:v>
                </c:pt>
                <c:pt idx="151">
                  <c:v>9.6910013008056392E-2</c:v>
                </c:pt>
                <c:pt idx="152">
                  <c:v>9.4204119632131461E-2</c:v>
                </c:pt>
                <c:pt idx="153">
                  <c:v>9.1514981121350217E-2</c:v>
                </c:pt>
                <c:pt idx="154">
                  <c:v>8.8842391260023412E-2</c:v>
                </c:pt>
                <c:pt idx="155">
                  <c:v>8.6186147616283335E-2</c:v>
                </c:pt>
                <c:pt idx="156">
                  <c:v>8.3546051450074932E-2</c:v>
                </c:pt>
                <c:pt idx="157">
                  <c:v>8.092190762392612E-2</c:v>
                </c:pt>
                <c:pt idx="158">
                  <c:v>7.8313524516397934E-2</c:v>
                </c:pt>
                <c:pt idx="159">
                  <c:v>7.5720713938118356E-2</c:v>
                </c:pt>
                <c:pt idx="160">
                  <c:v>7.3143291050307674E-2</c:v>
                </c:pt>
                <c:pt idx="161">
                  <c:v>7.0581074285707285E-2</c:v>
                </c:pt>
                <c:pt idx="162">
                  <c:v>6.8033885271827368E-2</c:v>
                </c:pt>
                <c:pt idx="163">
                  <c:v>6.5501548756432285E-2</c:v>
                </c:pt>
                <c:pt idx="164">
                  <c:v>6.2983892535185784E-2</c:v>
                </c:pt>
                <c:pt idx="165">
                  <c:v>6.0480747381381476E-2</c:v>
                </c:pt>
                <c:pt idx="166">
                  <c:v>5.7991946977686754E-2</c:v>
                </c:pt>
                <c:pt idx="167">
                  <c:v>5.551732784983137E-2</c:v>
                </c:pt>
                <c:pt idx="168">
                  <c:v>5.305672930217456E-2</c:v>
                </c:pt>
                <c:pt idx="169">
                  <c:v>5.0609993355087209E-2</c:v>
                </c:pt>
                <c:pt idx="170">
                  <c:v>4.8176964684088018E-2</c:v>
                </c:pt>
                <c:pt idx="171">
                  <c:v>4.5757490560675115E-2</c:v>
                </c:pt>
                <c:pt idx="172">
                  <c:v>4.3351420794796675E-2</c:v>
                </c:pt>
                <c:pt idx="173">
                  <c:v>4.0958607678906384E-2</c:v>
                </c:pt>
                <c:pt idx="174">
                  <c:v>3.8578905933551705E-2</c:v>
                </c:pt>
                <c:pt idx="175">
                  <c:v>3.6212172654444715E-2</c:v>
                </c:pt>
                <c:pt idx="176">
                  <c:v>3.385826726096737E-2</c:v>
                </c:pt>
                <c:pt idx="177">
                  <c:v>3.1517051446064863E-2</c:v>
                </c:pt>
                <c:pt idx="178">
                  <c:v>2.91883891274822E-2</c:v>
                </c:pt>
                <c:pt idx="179">
                  <c:v>2.6872146400301365E-2</c:v>
                </c:pt>
                <c:pt idx="180">
                  <c:v>2.4568191490737076E-2</c:v>
                </c:pt>
                <c:pt idx="181">
                  <c:v>2.2276394711152253E-2</c:v>
                </c:pt>
                <c:pt idx="182">
                  <c:v>1.9996628416253676E-2</c:v>
                </c:pt>
                <c:pt idx="183">
                  <c:v>1.7728766960431602E-2</c:v>
                </c:pt>
                <c:pt idx="184">
                  <c:v>1.5472686656207449E-2</c:v>
                </c:pt>
                <c:pt idx="185">
                  <c:v>1.322826573375516E-2</c:v>
                </c:pt>
                <c:pt idx="186">
                  <c:v>1.0995384301463193E-2</c:v>
                </c:pt>
                <c:pt idx="187">
                  <c:v>8.7739243075051505E-3</c:v>
                </c:pt>
                <c:pt idx="188">
                  <c:v>6.5637695023882739E-3</c:v>
                </c:pt>
                <c:pt idx="189">
                  <c:v>4.3648054024500883E-3</c:v>
                </c:pt>
                <c:pt idx="190">
                  <c:v>2.176919254274547E-3</c:v>
                </c:pt>
                <c:pt idx="191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F09-4204-9725-24F3D379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494784"/>
        <c:axId val="231496320"/>
      </c:scatterChart>
      <c:valAx>
        <c:axId val="231494784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231496320"/>
        <c:crosses val="autoZero"/>
        <c:crossBetween val="midCat"/>
      </c:valAx>
      <c:valAx>
        <c:axId val="23149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494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2</xdr:row>
      <xdr:rowOff>38100</xdr:rowOff>
    </xdr:from>
    <xdr:to>
      <xdr:col>16</xdr:col>
      <xdr:colOff>742950</xdr:colOff>
      <xdr:row>16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15</xdr:col>
      <xdr:colOff>0</xdr:colOff>
      <xdr:row>15</xdr:row>
      <xdr:rowOff>28575</xdr:rowOff>
    </xdr:to>
    <xdr:graphicFrame macro="">
      <xdr:nvGraphicFramePr>
        <xdr:cNvPr id="2" name="1 Gráfico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1</xdr:row>
      <xdr:rowOff>171450</xdr:rowOff>
    </xdr:from>
    <xdr:to>
      <xdr:col>11</xdr:col>
      <xdr:colOff>742950</xdr:colOff>
      <xdr:row>16</xdr:row>
      <xdr:rowOff>57150</xdr:rowOff>
    </xdr:to>
    <xdr:graphicFrame macro="">
      <xdr:nvGraphicFramePr>
        <xdr:cNvPr id="2" name="1 Gráfico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</xdr:colOff>
      <xdr:row>0</xdr:row>
      <xdr:rowOff>17318</xdr:rowOff>
    </xdr:from>
    <xdr:to>
      <xdr:col>8</xdr:col>
      <xdr:colOff>0</xdr:colOff>
      <xdr:row>5</xdr:row>
      <xdr:rowOff>128658</xdr:rowOff>
    </xdr:to>
    <xdr:pic>
      <xdr:nvPicPr>
        <xdr:cNvPr id="2" name="1 Imagen" descr="logo 1.png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53886" cy="847363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55</xdr:row>
      <xdr:rowOff>17318</xdr:rowOff>
    </xdr:from>
    <xdr:to>
      <xdr:col>8</xdr:col>
      <xdr:colOff>0</xdr:colOff>
      <xdr:row>60</xdr:row>
      <xdr:rowOff>128658</xdr:rowOff>
    </xdr:to>
    <xdr:pic>
      <xdr:nvPicPr>
        <xdr:cNvPr id="4" name="3 Imagen" descr="logo 1.png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111</xdr:row>
      <xdr:rowOff>17318</xdr:rowOff>
    </xdr:from>
    <xdr:to>
      <xdr:col>8</xdr:col>
      <xdr:colOff>0</xdr:colOff>
      <xdr:row>116</xdr:row>
      <xdr:rowOff>128658</xdr:rowOff>
    </xdr:to>
    <xdr:pic>
      <xdr:nvPicPr>
        <xdr:cNvPr id="5" name="4 Imagen" descr="logo 1.png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96566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165</xdr:row>
      <xdr:rowOff>17318</xdr:rowOff>
    </xdr:from>
    <xdr:to>
      <xdr:col>8</xdr:col>
      <xdr:colOff>0</xdr:colOff>
      <xdr:row>170</xdr:row>
      <xdr:rowOff>128658</xdr:rowOff>
    </xdr:to>
    <xdr:pic>
      <xdr:nvPicPr>
        <xdr:cNvPr id="6" name="5 Imagen" descr="logo 1.png">
          <a:extLst>
            <a:ext uri="{FF2B5EF4-FFF2-40B4-BE49-F238E27FC236}">
              <a16:creationId xmlns=""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92959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220</xdr:row>
      <xdr:rowOff>17318</xdr:rowOff>
    </xdr:from>
    <xdr:to>
      <xdr:col>8</xdr:col>
      <xdr:colOff>0</xdr:colOff>
      <xdr:row>225</xdr:row>
      <xdr:rowOff>128658</xdr:rowOff>
    </xdr:to>
    <xdr:pic>
      <xdr:nvPicPr>
        <xdr:cNvPr id="7" name="6 Imagen" descr="logo 1.png">
          <a:extLst>
            <a:ext uri="{FF2B5EF4-FFF2-40B4-BE49-F238E27FC236}">
              <a16:creationId xmlns=""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289352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47</xdr:row>
      <xdr:rowOff>133350</xdr:rowOff>
    </xdr:from>
    <xdr:to>
      <xdr:col>22</xdr:col>
      <xdr:colOff>147647</xdr:colOff>
      <xdr:row>50</xdr:row>
      <xdr:rowOff>159000</xdr:rowOff>
    </xdr:to>
    <xdr:pic>
      <xdr:nvPicPr>
        <xdr:cNvPr id="8" name="7 Imagen" descr="FIRMA_MONICA_DUARTE.jpg">
          <a:extLst>
            <a:ext uri="{FF2B5EF4-FFF2-40B4-BE49-F238E27FC236}">
              <a16:creationId xmlns=""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7950" y="8534400"/>
          <a:ext cx="1681172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104</xdr:row>
      <xdr:rowOff>133350</xdr:rowOff>
    </xdr:from>
    <xdr:to>
      <xdr:col>22</xdr:col>
      <xdr:colOff>147647</xdr:colOff>
      <xdr:row>107</xdr:row>
      <xdr:rowOff>159000</xdr:rowOff>
    </xdr:to>
    <xdr:pic>
      <xdr:nvPicPr>
        <xdr:cNvPr id="9" name="8 Imagen" descr="FIRMA_MONICA_DUARTE.jpg">
          <a:extLst>
            <a:ext uri="{FF2B5EF4-FFF2-40B4-BE49-F238E27FC236}">
              <a16:creationId xmlns=""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7950" y="18211800"/>
          <a:ext cx="1681172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158</xdr:row>
      <xdr:rowOff>114300</xdr:rowOff>
    </xdr:from>
    <xdr:to>
      <xdr:col>22</xdr:col>
      <xdr:colOff>147647</xdr:colOff>
      <xdr:row>161</xdr:row>
      <xdr:rowOff>139950</xdr:rowOff>
    </xdr:to>
    <xdr:pic>
      <xdr:nvPicPr>
        <xdr:cNvPr id="10" name="9 Imagen" descr="FIRMA_MONICA_DUARTE.jpg">
          <a:extLst>
            <a:ext uri="{FF2B5EF4-FFF2-40B4-BE49-F238E27FC236}">
              <a16:creationId xmlns=""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7950" y="27870150"/>
          <a:ext cx="1681172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213</xdr:row>
      <xdr:rowOff>114300</xdr:rowOff>
    </xdr:from>
    <xdr:to>
      <xdr:col>22</xdr:col>
      <xdr:colOff>147647</xdr:colOff>
      <xdr:row>216</xdr:row>
      <xdr:rowOff>139950</xdr:rowOff>
    </xdr:to>
    <xdr:pic>
      <xdr:nvPicPr>
        <xdr:cNvPr id="11" name="10 Imagen" descr="FIRMA_MONICA_DUARTE.jpg">
          <a:extLst>
            <a:ext uri="{FF2B5EF4-FFF2-40B4-BE49-F238E27FC236}">
              <a16:creationId xmlns=""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7950" y="37509450"/>
          <a:ext cx="1681172" cy="54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269</xdr:row>
      <xdr:rowOff>133350</xdr:rowOff>
    </xdr:from>
    <xdr:to>
      <xdr:col>22</xdr:col>
      <xdr:colOff>147647</xdr:colOff>
      <xdr:row>272</xdr:row>
      <xdr:rowOff>159000</xdr:rowOff>
    </xdr:to>
    <xdr:pic>
      <xdr:nvPicPr>
        <xdr:cNvPr id="12" name="11 Imagen" descr="FIRMA_MONICA_DUARTE.jpg">
          <a:extLst>
            <a:ext uri="{FF2B5EF4-FFF2-40B4-BE49-F238E27FC236}">
              <a16:creationId xmlns=""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7950" y="47148750"/>
          <a:ext cx="1681172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55</xdr:row>
      <xdr:rowOff>17318</xdr:rowOff>
    </xdr:from>
    <xdr:to>
      <xdr:col>8</xdr:col>
      <xdr:colOff>0</xdr:colOff>
      <xdr:row>60</xdr:row>
      <xdr:rowOff>128658</xdr:rowOff>
    </xdr:to>
    <xdr:pic>
      <xdr:nvPicPr>
        <xdr:cNvPr id="13" name="12 Imagen" descr="logo 1.png">
          <a:extLst>
            <a:ext uri="{FF2B5EF4-FFF2-40B4-BE49-F238E27FC236}">
              <a16:creationId xmlns=""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111</xdr:row>
      <xdr:rowOff>17318</xdr:rowOff>
    </xdr:from>
    <xdr:to>
      <xdr:col>8</xdr:col>
      <xdr:colOff>0</xdr:colOff>
      <xdr:row>116</xdr:row>
      <xdr:rowOff>128658</xdr:rowOff>
    </xdr:to>
    <xdr:pic>
      <xdr:nvPicPr>
        <xdr:cNvPr id="14" name="13 Imagen" descr="logo 1.png">
          <a:extLst>
            <a:ext uri="{FF2B5EF4-FFF2-40B4-BE49-F238E27FC236}">
              <a16:creationId xmlns=""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165</xdr:row>
      <xdr:rowOff>17318</xdr:rowOff>
    </xdr:from>
    <xdr:to>
      <xdr:col>8</xdr:col>
      <xdr:colOff>0</xdr:colOff>
      <xdr:row>170</xdr:row>
      <xdr:rowOff>128658</xdr:rowOff>
    </xdr:to>
    <xdr:pic>
      <xdr:nvPicPr>
        <xdr:cNvPr id="15" name="14 Imagen" descr="logo 1.png">
          <a:extLst>
            <a:ext uri="{FF2B5EF4-FFF2-40B4-BE49-F238E27FC236}">
              <a16:creationId xmlns=""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67741" cy="825715"/>
        </a:xfrm>
        <a:prstGeom prst="rect">
          <a:avLst/>
        </a:prstGeom>
      </xdr:spPr>
    </xdr:pic>
    <xdr:clientData/>
  </xdr:twoCellAnchor>
  <xdr:twoCellAnchor editAs="oneCell">
    <xdr:from>
      <xdr:col>0</xdr:col>
      <xdr:colOff>8659</xdr:colOff>
      <xdr:row>220</xdr:row>
      <xdr:rowOff>17318</xdr:rowOff>
    </xdr:from>
    <xdr:to>
      <xdr:col>8</xdr:col>
      <xdr:colOff>0</xdr:colOff>
      <xdr:row>225</xdr:row>
      <xdr:rowOff>128658</xdr:rowOff>
    </xdr:to>
    <xdr:pic>
      <xdr:nvPicPr>
        <xdr:cNvPr id="16" name="15 Imagen" descr="logo 1.png">
          <a:extLst>
            <a:ext uri="{FF2B5EF4-FFF2-40B4-BE49-F238E27FC236}">
              <a16:creationId xmlns=""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9510" t="3927" r="8926"/>
        <a:stretch>
          <a:fillRect/>
        </a:stretch>
      </xdr:blipFill>
      <xdr:spPr>
        <a:xfrm>
          <a:off x="8659" y="17318"/>
          <a:ext cx="1667741" cy="82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52"/>
  <sheetViews>
    <sheetView workbookViewId="0">
      <selection activeCell="B11" sqref="B11:B16"/>
    </sheetView>
  </sheetViews>
  <sheetFormatPr baseColWidth="10" defaultColWidth="11.42578125" defaultRowHeight="15" x14ac:dyDescent="0.25"/>
  <cols>
    <col min="2" max="2" width="20.42578125" bestFit="1" customWidth="1"/>
    <col min="3" max="3" width="25" bestFit="1" customWidth="1"/>
    <col min="7" max="7" width="30.42578125" customWidth="1"/>
    <col min="258" max="258" width="20.42578125" bestFit="1" customWidth="1"/>
    <col min="259" max="259" width="25" bestFit="1" customWidth="1"/>
    <col min="263" max="263" width="18.85546875" customWidth="1"/>
    <col min="514" max="514" width="20.42578125" bestFit="1" customWidth="1"/>
    <col min="515" max="515" width="25" bestFit="1" customWidth="1"/>
    <col min="519" max="519" width="18.85546875" customWidth="1"/>
    <col min="770" max="770" width="20.42578125" bestFit="1" customWidth="1"/>
    <col min="771" max="771" width="25" bestFit="1" customWidth="1"/>
    <col min="775" max="775" width="18.85546875" customWidth="1"/>
    <col min="1026" max="1026" width="20.42578125" bestFit="1" customWidth="1"/>
    <col min="1027" max="1027" width="25" bestFit="1" customWidth="1"/>
    <col min="1031" max="1031" width="18.85546875" customWidth="1"/>
    <col min="1282" max="1282" width="20.42578125" bestFit="1" customWidth="1"/>
    <col min="1283" max="1283" width="25" bestFit="1" customWidth="1"/>
    <col min="1287" max="1287" width="18.85546875" customWidth="1"/>
    <col min="1538" max="1538" width="20.42578125" bestFit="1" customWidth="1"/>
    <col min="1539" max="1539" width="25" bestFit="1" customWidth="1"/>
    <col min="1543" max="1543" width="18.85546875" customWidth="1"/>
    <col min="1794" max="1794" width="20.42578125" bestFit="1" customWidth="1"/>
    <col min="1795" max="1795" width="25" bestFit="1" customWidth="1"/>
    <col min="1799" max="1799" width="18.85546875" customWidth="1"/>
    <col min="2050" max="2050" width="20.42578125" bestFit="1" customWidth="1"/>
    <col min="2051" max="2051" width="25" bestFit="1" customWidth="1"/>
    <col min="2055" max="2055" width="18.85546875" customWidth="1"/>
    <col min="2306" max="2306" width="20.42578125" bestFit="1" customWidth="1"/>
    <col min="2307" max="2307" width="25" bestFit="1" customWidth="1"/>
    <col min="2311" max="2311" width="18.85546875" customWidth="1"/>
    <col min="2562" max="2562" width="20.42578125" bestFit="1" customWidth="1"/>
    <col min="2563" max="2563" width="25" bestFit="1" customWidth="1"/>
    <col min="2567" max="2567" width="18.85546875" customWidth="1"/>
    <col min="2818" max="2818" width="20.42578125" bestFit="1" customWidth="1"/>
    <col min="2819" max="2819" width="25" bestFit="1" customWidth="1"/>
    <col min="2823" max="2823" width="18.85546875" customWidth="1"/>
    <col min="3074" max="3074" width="20.42578125" bestFit="1" customWidth="1"/>
    <col min="3075" max="3075" width="25" bestFit="1" customWidth="1"/>
    <col min="3079" max="3079" width="18.85546875" customWidth="1"/>
    <col min="3330" max="3330" width="20.42578125" bestFit="1" customWidth="1"/>
    <col min="3331" max="3331" width="25" bestFit="1" customWidth="1"/>
    <col min="3335" max="3335" width="18.85546875" customWidth="1"/>
    <col min="3586" max="3586" width="20.42578125" bestFit="1" customWidth="1"/>
    <col min="3587" max="3587" width="25" bestFit="1" customWidth="1"/>
    <col min="3591" max="3591" width="18.85546875" customWidth="1"/>
    <col min="3842" max="3842" width="20.42578125" bestFit="1" customWidth="1"/>
    <col min="3843" max="3843" width="25" bestFit="1" customWidth="1"/>
    <col min="3847" max="3847" width="18.85546875" customWidth="1"/>
    <col min="4098" max="4098" width="20.42578125" bestFit="1" customWidth="1"/>
    <col min="4099" max="4099" width="25" bestFit="1" customWidth="1"/>
    <col min="4103" max="4103" width="18.85546875" customWidth="1"/>
    <col min="4354" max="4354" width="20.42578125" bestFit="1" customWidth="1"/>
    <col min="4355" max="4355" width="25" bestFit="1" customWidth="1"/>
    <col min="4359" max="4359" width="18.85546875" customWidth="1"/>
    <col min="4610" max="4610" width="20.42578125" bestFit="1" customWidth="1"/>
    <col min="4611" max="4611" width="25" bestFit="1" customWidth="1"/>
    <col min="4615" max="4615" width="18.85546875" customWidth="1"/>
    <col min="4866" max="4866" width="20.42578125" bestFit="1" customWidth="1"/>
    <col min="4867" max="4867" width="25" bestFit="1" customWidth="1"/>
    <col min="4871" max="4871" width="18.85546875" customWidth="1"/>
    <col min="5122" max="5122" width="20.42578125" bestFit="1" customWidth="1"/>
    <col min="5123" max="5123" width="25" bestFit="1" customWidth="1"/>
    <col min="5127" max="5127" width="18.85546875" customWidth="1"/>
    <col min="5378" max="5378" width="20.42578125" bestFit="1" customWidth="1"/>
    <col min="5379" max="5379" width="25" bestFit="1" customWidth="1"/>
    <col min="5383" max="5383" width="18.85546875" customWidth="1"/>
    <col min="5634" max="5634" width="20.42578125" bestFit="1" customWidth="1"/>
    <col min="5635" max="5635" width="25" bestFit="1" customWidth="1"/>
    <col min="5639" max="5639" width="18.85546875" customWidth="1"/>
    <col min="5890" max="5890" width="20.42578125" bestFit="1" customWidth="1"/>
    <col min="5891" max="5891" width="25" bestFit="1" customWidth="1"/>
    <col min="5895" max="5895" width="18.85546875" customWidth="1"/>
    <col min="6146" max="6146" width="20.42578125" bestFit="1" customWidth="1"/>
    <col min="6147" max="6147" width="25" bestFit="1" customWidth="1"/>
    <col min="6151" max="6151" width="18.85546875" customWidth="1"/>
    <col min="6402" max="6402" width="20.42578125" bestFit="1" customWidth="1"/>
    <col min="6403" max="6403" width="25" bestFit="1" customWidth="1"/>
    <col min="6407" max="6407" width="18.85546875" customWidth="1"/>
    <col min="6658" max="6658" width="20.42578125" bestFit="1" customWidth="1"/>
    <col min="6659" max="6659" width="25" bestFit="1" customWidth="1"/>
    <col min="6663" max="6663" width="18.85546875" customWidth="1"/>
    <col min="6914" max="6914" width="20.42578125" bestFit="1" customWidth="1"/>
    <col min="6915" max="6915" width="25" bestFit="1" customWidth="1"/>
    <col min="6919" max="6919" width="18.85546875" customWidth="1"/>
    <col min="7170" max="7170" width="20.42578125" bestFit="1" customWidth="1"/>
    <col min="7171" max="7171" width="25" bestFit="1" customWidth="1"/>
    <col min="7175" max="7175" width="18.85546875" customWidth="1"/>
    <col min="7426" max="7426" width="20.42578125" bestFit="1" customWidth="1"/>
    <col min="7427" max="7427" width="25" bestFit="1" customWidth="1"/>
    <col min="7431" max="7431" width="18.85546875" customWidth="1"/>
    <col min="7682" max="7682" width="20.42578125" bestFit="1" customWidth="1"/>
    <col min="7683" max="7683" width="25" bestFit="1" customWidth="1"/>
    <col min="7687" max="7687" width="18.85546875" customWidth="1"/>
    <col min="7938" max="7938" width="20.42578125" bestFit="1" customWidth="1"/>
    <col min="7939" max="7939" width="25" bestFit="1" customWidth="1"/>
    <col min="7943" max="7943" width="18.85546875" customWidth="1"/>
    <col min="8194" max="8194" width="20.42578125" bestFit="1" customWidth="1"/>
    <col min="8195" max="8195" width="25" bestFit="1" customWidth="1"/>
    <col min="8199" max="8199" width="18.85546875" customWidth="1"/>
    <col min="8450" max="8450" width="20.42578125" bestFit="1" customWidth="1"/>
    <col min="8451" max="8451" width="25" bestFit="1" customWidth="1"/>
    <col min="8455" max="8455" width="18.85546875" customWidth="1"/>
    <col min="8706" max="8706" width="20.42578125" bestFit="1" customWidth="1"/>
    <col min="8707" max="8707" width="25" bestFit="1" customWidth="1"/>
    <col min="8711" max="8711" width="18.85546875" customWidth="1"/>
    <col min="8962" max="8962" width="20.42578125" bestFit="1" customWidth="1"/>
    <col min="8963" max="8963" width="25" bestFit="1" customWidth="1"/>
    <col min="8967" max="8967" width="18.85546875" customWidth="1"/>
    <col min="9218" max="9218" width="20.42578125" bestFit="1" customWidth="1"/>
    <col min="9219" max="9219" width="25" bestFit="1" customWidth="1"/>
    <col min="9223" max="9223" width="18.85546875" customWidth="1"/>
    <col min="9474" max="9474" width="20.42578125" bestFit="1" customWidth="1"/>
    <col min="9475" max="9475" width="25" bestFit="1" customWidth="1"/>
    <col min="9479" max="9479" width="18.85546875" customWidth="1"/>
    <col min="9730" max="9730" width="20.42578125" bestFit="1" customWidth="1"/>
    <col min="9731" max="9731" width="25" bestFit="1" customWidth="1"/>
    <col min="9735" max="9735" width="18.85546875" customWidth="1"/>
    <col min="9986" max="9986" width="20.42578125" bestFit="1" customWidth="1"/>
    <col min="9987" max="9987" width="25" bestFit="1" customWidth="1"/>
    <col min="9991" max="9991" width="18.85546875" customWidth="1"/>
    <col min="10242" max="10242" width="20.42578125" bestFit="1" customWidth="1"/>
    <col min="10243" max="10243" width="25" bestFit="1" customWidth="1"/>
    <col min="10247" max="10247" width="18.85546875" customWidth="1"/>
    <col min="10498" max="10498" width="20.42578125" bestFit="1" customWidth="1"/>
    <col min="10499" max="10499" width="25" bestFit="1" customWidth="1"/>
    <col min="10503" max="10503" width="18.85546875" customWidth="1"/>
    <col min="10754" max="10754" width="20.42578125" bestFit="1" customWidth="1"/>
    <col min="10755" max="10755" width="25" bestFit="1" customWidth="1"/>
    <col min="10759" max="10759" width="18.85546875" customWidth="1"/>
    <col min="11010" max="11010" width="20.42578125" bestFit="1" customWidth="1"/>
    <col min="11011" max="11011" width="25" bestFit="1" customWidth="1"/>
    <col min="11015" max="11015" width="18.85546875" customWidth="1"/>
    <col min="11266" max="11266" width="20.42578125" bestFit="1" customWidth="1"/>
    <col min="11267" max="11267" width="25" bestFit="1" customWidth="1"/>
    <col min="11271" max="11271" width="18.85546875" customWidth="1"/>
    <col min="11522" max="11522" width="20.42578125" bestFit="1" customWidth="1"/>
    <col min="11523" max="11523" width="25" bestFit="1" customWidth="1"/>
    <col min="11527" max="11527" width="18.85546875" customWidth="1"/>
    <col min="11778" max="11778" width="20.42578125" bestFit="1" customWidth="1"/>
    <col min="11779" max="11779" width="25" bestFit="1" customWidth="1"/>
    <col min="11783" max="11783" width="18.85546875" customWidth="1"/>
    <col min="12034" max="12034" width="20.42578125" bestFit="1" customWidth="1"/>
    <col min="12035" max="12035" width="25" bestFit="1" customWidth="1"/>
    <col min="12039" max="12039" width="18.85546875" customWidth="1"/>
    <col min="12290" max="12290" width="20.42578125" bestFit="1" customWidth="1"/>
    <col min="12291" max="12291" width="25" bestFit="1" customWidth="1"/>
    <col min="12295" max="12295" width="18.85546875" customWidth="1"/>
    <col min="12546" max="12546" width="20.42578125" bestFit="1" customWidth="1"/>
    <col min="12547" max="12547" width="25" bestFit="1" customWidth="1"/>
    <col min="12551" max="12551" width="18.85546875" customWidth="1"/>
    <col min="12802" max="12802" width="20.42578125" bestFit="1" customWidth="1"/>
    <col min="12803" max="12803" width="25" bestFit="1" customWidth="1"/>
    <col min="12807" max="12807" width="18.85546875" customWidth="1"/>
    <col min="13058" max="13058" width="20.42578125" bestFit="1" customWidth="1"/>
    <col min="13059" max="13059" width="25" bestFit="1" customWidth="1"/>
    <col min="13063" max="13063" width="18.85546875" customWidth="1"/>
    <col min="13314" max="13314" width="20.42578125" bestFit="1" customWidth="1"/>
    <col min="13315" max="13315" width="25" bestFit="1" customWidth="1"/>
    <col min="13319" max="13319" width="18.85546875" customWidth="1"/>
    <col min="13570" max="13570" width="20.42578125" bestFit="1" customWidth="1"/>
    <col min="13571" max="13571" width="25" bestFit="1" customWidth="1"/>
    <col min="13575" max="13575" width="18.85546875" customWidth="1"/>
    <col min="13826" max="13826" width="20.42578125" bestFit="1" customWidth="1"/>
    <col min="13827" max="13827" width="25" bestFit="1" customWidth="1"/>
    <col min="13831" max="13831" width="18.85546875" customWidth="1"/>
    <col min="14082" max="14082" width="20.42578125" bestFit="1" customWidth="1"/>
    <col min="14083" max="14083" width="25" bestFit="1" customWidth="1"/>
    <col min="14087" max="14087" width="18.85546875" customWidth="1"/>
    <col min="14338" max="14338" width="20.42578125" bestFit="1" customWidth="1"/>
    <col min="14339" max="14339" width="25" bestFit="1" customWidth="1"/>
    <col min="14343" max="14343" width="18.85546875" customWidth="1"/>
    <col min="14594" max="14594" width="20.42578125" bestFit="1" customWidth="1"/>
    <col min="14595" max="14595" width="25" bestFit="1" customWidth="1"/>
    <col min="14599" max="14599" width="18.85546875" customWidth="1"/>
    <col min="14850" max="14850" width="20.42578125" bestFit="1" customWidth="1"/>
    <col min="14851" max="14851" width="25" bestFit="1" customWidth="1"/>
    <col min="14855" max="14855" width="18.85546875" customWidth="1"/>
    <col min="15106" max="15106" width="20.42578125" bestFit="1" customWidth="1"/>
    <col min="15107" max="15107" width="25" bestFit="1" customWidth="1"/>
    <col min="15111" max="15111" width="18.85546875" customWidth="1"/>
    <col min="15362" max="15362" width="20.42578125" bestFit="1" customWidth="1"/>
    <col min="15363" max="15363" width="25" bestFit="1" customWidth="1"/>
    <col min="15367" max="15367" width="18.85546875" customWidth="1"/>
    <col min="15618" max="15618" width="20.42578125" bestFit="1" customWidth="1"/>
    <col min="15619" max="15619" width="25" bestFit="1" customWidth="1"/>
    <col min="15623" max="15623" width="18.85546875" customWidth="1"/>
    <col min="15874" max="15874" width="20.42578125" bestFit="1" customWidth="1"/>
    <col min="15875" max="15875" width="25" bestFit="1" customWidth="1"/>
    <col min="15879" max="15879" width="18.85546875" customWidth="1"/>
    <col min="16130" max="16130" width="20.42578125" bestFit="1" customWidth="1"/>
    <col min="16131" max="16131" width="25" bestFit="1" customWidth="1"/>
    <col min="16135" max="16135" width="18.85546875" customWidth="1"/>
  </cols>
  <sheetData>
    <row r="4" spans="1:7" x14ac:dyDescent="0.25">
      <c r="B4" s="10" t="s">
        <v>0</v>
      </c>
      <c r="C4" s="91" t="s">
        <v>293</v>
      </c>
      <c r="F4" s="12" t="s">
        <v>14</v>
      </c>
      <c r="G4" s="112" t="s">
        <v>312</v>
      </c>
    </row>
    <row r="5" spans="1:7" x14ac:dyDescent="0.25">
      <c r="B5" s="10" t="s">
        <v>3</v>
      </c>
      <c r="C5" s="92">
        <v>45922</v>
      </c>
      <c r="F5" s="10" t="s">
        <v>1</v>
      </c>
      <c r="G5" s="11" t="s">
        <v>307</v>
      </c>
    </row>
    <row r="6" spans="1:7" x14ac:dyDescent="0.25">
      <c r="B6" s="10" t="s">
        <v>5</v>
      </c>
      <c r="C6" s="92" t="s">
        <v>294</v>
      </c>
      <c r="F6" s="12" t="s">
        <v>4</v>
      </c>
      <c r="G6" s="11" t="s">
        <v>308</v>
      </c>
    </row>
    <row r="7" spans="1:7" x14ac:dyDescent="0.25">
      <c r="B7" s="30" t="s">
        <v>7</v>
      </c>
      <c r="C7" s="92" t="s">
        <v>294</v>
      </c>
      <c r="F7" s="14" t="s">
        <v>6</v>
      </c>
      <c r="G7" s="91" t="s">
        <v>309</v>
      </c>
    </row>
    <row r="8" spans="1:7" x14ac:dyDescent="0.25">
      <c r="B8" s="10" t="s">
        <v>9</v>
      </c>
      <c r="C8" s="91">
        <v>6</v>
      </c>
      <c r="F8" s="14" t="s">
        <v>8</v>
      </c>
      <c r="G8" s="91" t="s">
        <v>309</v>
      </c>
    </row>
    <row r="9" spans="1:7" x14ac:dyDescent="0.25">
      <c r="F9" s="12" t="s">
        <v>10</v>
      </c>
      <c r="G9" s="91" t="s">
        <v>310</v>
      </c>
    </row>
    <row r="10" spans="1:7" x14ac:dyDescent="0.25">
      <c r="B10" s="15" t="s">
        <v>12</v>
      </c>
      <c r="C10" s="15" t="s">
        <v>13</v>
      </c>
      <c r="F10" s="12" t="s">
        <v>11</v>
      </c>
      <c r="G10" s="93"/>
    </row>
    <row r="11" spans="1:7" x14ac:dyDescent="0.25">
      <c r="A11">
        <v>1</v>
      </c>
      <c r="B11" s="11" t="s">
        <v>295</v>
      </c>
      <c r="C11" s="90" t="s">
        <v>301</v>
      </c>
      <c r="F11" s="16" t="s">
        <v>15</v>
      </c>
      <c r="G11" s="91" t="s">
        <v>311</v>
      </c>
    </row>
    <row r="12" spans="1:7" x14ac:dyDescent="0.25">
      <c r="A12">
        <v>2</v>
      </c>
      <c r="B12" s="11" t="s">
        <v>296</v>
      </c>
      <c r="C12" s="90" t="s">
        <v>302</v>
      </c>
      <c r="D12" s="38"/>
      <c r="F12" s="16" t="s">
        <v>16</v>
      </c>
      <c r="G12" s="92"/>
    </row>
    <row r="13" spans="1:7" x14ac:dyDescent="0.25">
      <c r="A13">
        <v>3</v>
      </c>
      <c r="B13" s="11" t="s">
        <v>297</v>
      </c>
      <c r="C13" s="90" t="s">
        <v>303</v>
      </c>
      <c r="D13" s="38"/>
      <c r="F13" s="16" t="s">
        <v>17</v>
      </c>
      <c r="G13" s="92"/>
    </row>
    <row r="14" spans="1:7" x14ac:dyDescent="0.25">
      <c r="A14">
        <v>4</v>
      </c>
      <c r="B14" s="11" t="s">
        <v>298</v>
      </c>
      <c r="C14" s="90" t="s">
        <v>304</v>
      </c>
      <c r="D14" s="38"/>
      <c r="F14" s="16" t="s">
        <v>18</v>
      </c>
      <c r="G14" s="13">
        <v>45924</v>
      </c>
    </row>
    <row r="15" spans="1:7" x14ac:dyDescent="0.25">
      <c r="A15">
        <v>5</v>
      </c>
      <c r="B15" s="11" t="s">
        <v>299</v>
      </c>
      <c r="C15" s="90" t="s">
        <v>305</v>
      </c>
      <c r="D15" s="38"/>
      <c r="F15" s="16" t="s">
        <v>19</v>
      </c>
      <c r="G15" s="13">
        <v>45926</v>
      </c>
    </row>
    <row r="16" spans="1:7" x14ac:dyDescent="0.25">
      <c r="A16">
        <v>6</v>
      </c>
      <c r="B16" s="11" t="s">
        <v>300</v>
      </c>
      <c r="C16" s="90" t="s">
        <v>306</v>
      </c>
      <c r="D16" s="38"/>
      <c r="E16" s="113" t="s">
        <v>20</v>
      </c>
      <c r="F16" s="114"/>
      <c r="G16" s="11" t="s">
        <v>235</v>
      </c>
    </row>
    <row r="17" spans="1:4" x14ac:dyDescent="0.25">
      <c r="A17">
        <v>7</v>
      </c>
      <c r="B17" s="11"/>
      <c r="C17" s="90"/>
      <c r="D17" s="38"/>
    </row>
    <row r="18" spans="1:4" x14ac:dyDescent="0.25">
      <c r="A18">
        <v>8</v>
      </c>
      <c r="B18" s="11"/>
      <c r="C18" s="90"/>
      <c r="D18" s="38"/>
    </row>
    <row r="19" spans="1:4" x14ac:dyDescent="0.25">
      <c r="A19">
        <v>9</v>
      </c>
      <c r="B19" s="11"/>
      <c r="C19" s="90"/>
      <c r="D19" s="38"/>
    </row>
    <row r="20" spans="1:4" x14ac:dyDescent="0.25">
      <c r="A20">
        <v>10</v>
      </c>
      <c r="B20" s="11"/>
      <c r="C20" s="90"/>
      <c r="D20" s="38"/>
    </row>
    <row r="21" spans="1:4" x14ac:dyDescent="0.25">
      <c r="A21">
        <v>11</v>
      </c>
      <c r="B21" s="11"/>
      <c r="C21" s="90"/>
      <c r="D21" s="38"/>
    </row>
    <row r="22" spans="1:4" x14ac:dyDescent="0.25">
      <c r="A22">
        <v>12</v>
      </c>
      <c r="B22" s="11"/>
      <c r="C22" s="90"/>
      <c r="D22" s="38"/>
    </row>
    <row r="23" spans="1:4" x14ac:dyDescent="0.25">
      <c r="A23">
        <v>13</v>
      </c>
      <c r="B23" s="11"/>
      <c r="C23" s="90"/>
      <c r="D23" s="38"/>
    </row>
    <row r="24" spans="1:4" x14ac:dyDescent="0.25">
      <c r="A24">
        <v>14</v>
      </c>
      <c r="B24" s="11"/>
      <c r="C24" s="90"/>
      <c r="D24" s="38"/>
    </row>
    <row r="25" spans="1:4" x14ac:dyDescent="0.25">
      <c r="A25">
        <v>15</v>
      </c>
      <c r="B25" s="11"/>
      <c r="C25" s="90"/>
      <c r="D25" s="38"/>
    </row>
    <row r="26" spans="1:4" x14ac:dyDescent="0.25">
      <c r="A26">
        <v>16</v>
      </c>
      <c r="B26" s="11"/>
      <c r="C26" s="90"/>
      <c r="D26" s="38"/>
    </row>
    <row r="27" spans="1:4" x14ac:dyDescent="0.25">
      <c r="A27">
        <v>17</v>
      </c>
      <c r="B27" s="11"/>
      <c r="C27" s="90"/>
      <c r="D27" s="38"/>
    </row>
    <row r="28" spans="1:4" x14ac:dyDescent="0.25">
      <c r="A28">
        <v>18</v>
      </c>
      <c r="B28" s="11"/>
      <c r="C28" s="90"/>
      <c r="D28" s="38"/>
    </row>
    <row r="29" spans="1:4" x14ac:dyDescent="0.25">
      <c r="A29">
        <v>19</v>
      </c>
      <c r="B29" s="11"/>
      <c r="C29" s="90"/>
      <c r="D29" s="38"/>
    </row>
    <row r="30" spans="1:4" x14ac:dyDescent="0.25">
      <c r="A30">
        <v>20</v>
      </c>
      <c r="B30" s="11"/>
      <c r="C30" s="90"/>
      <c r="D30" s="38"/>
    </row>
    <row r="31" spans="1:4" x14ac:dyDescent="0.25">
      <c r="A31" s="38"/>
      <c r="B31" s="38"/>
      <c r="C31" s="39"/>
      <c r="D31" s="38"/>
    </row>
    <row r="32" spans="1:4" x14ac:dyDescent="0.25">
      <c r="A32" s="38"/>
      <c r="B32" s="38"/>
      <c r="C32" s="39"/>
      <c r="D32" s="38"/>
    </row>
    <row r="33" spans="1:4" x14ac:dyDescent="0.25">
      <c r="A33" s="38"/>
      <c r="B33" s="38"/>
      <c r="C33" s="39"/>
      <c r="D33" s="38"/>
    </row>
    <row r="34" spans="1:4" x14ac:dyDescent="0.25">
      <c r="A34" s="38"/>
      <c r="B34" s="38"/>
      <c r="C34" s="39"/>
      <c r="D34" s="38"/>
    </row>
    <row r="35" spans="1:4" x14ac:dyDescent="0.25">
      <c r="A35" s="38"/>
      <c r="B35" s="38"/>
      <c r="C35" s="39"/>
      <c r="D35" s="38"/>
    </row>
    <row r="36" spans="1:4" x14ac:dyDescent="0.25">
      <c r="A36" s="38"/>
      <c r="B36" s="38"/>
      <c r="C36" s="39"/>
      <c r="D36" s="38"/>
    </row>
    <row r="37" spans="1:4" x14ac:dyDescent="0.25">
      <c r="A37" s="38"/>
      <c r="B37" s="38"/>
      <c r="C37" s="39"/>
      <c r="D37" s="38"/>
    </row>
    <row r="38" spans="1:4" x14ac:dyDescent="0.25">
      <c r="A38" s="38"/>
      <c r="B38" s="38"/>
      <c r="C38" s="39"/>
      <c r="D38" s="38"/>
    </row>
    <row r="39" spans="1:4" x14ac:dyDescent="0.25">
      <c r="A39" s="38"/>
      <c r="B39" s="38"/>
      <c r="C39" s="39"/>
      <c r="D39" s="38"/>
    </row>
    <row r="40" spans="1:4" x14ac:dyDescent="0.25">
      <c r="A40" s="38"/>
      <c r="B40" s="38"/>
      <c r="C40" s="39"/>
      <c r="D40" s="38"/>
    </row>
    <row r="41" spans="1:4" x14ac:dyDescent="0.25">
      <c r="A41" s="38"/>
      <c r="B41" s="38"/>
      <c r="C41" s="39"/>
      <c r="D41" s="38"/>
    </row>
    <row r="42" spans="1:4" x14ac:dyDescent="0.25">
      <c r="A42" s="38"/>
      <c r="B42" s="38"/>
      <c r="C42" s="39"/>
      <c r="D42" s="38"/>
    </row>
    <row r="43" spans="1:4" x14ac:dyDescent="0.25">
      <c r="A43" s="38"/>
      <c r="B43" s="38"/>
      <c r="C43" s="39"/>
      <c r="D43" s="38"/>
    </row>
    <row r="44" spans="1:4" x14ac:dyDescent="0.25">
      <c r="A44" s="38"/>
      <c r="B44" s="38"/>
      <c r="C44" s="39"/>
      <c r="D44" s="38"/>
    </row>
    <row r="45" spans="1:4" x14ac:dyDescent="0.25">
      <c r="A45" s="38"/>
      <c r="B45" s="38"/>
      <c r="C45" s="39"/>
      <c r="D45" s="38"/>
    </row>
    <row r="46" spans="1:4" x14ac:dyDescent="0.25">
      <c r="A46" s="38"/>
      <c r="B46" s="38"/>
      <c r="C46" s="39"/>
      <c r="D46" s="38"/>
    </row>
    <row r="47" spans="1:4" x14ac:dyDescent="0.25">
      <c r="A47" s="38"/>
      <c r="B47" s="38"/>
      <c r="C47" s="39"/>
      <c r="D47" s="38"/>
    </row>
    <row r="48" spans="1:4" x14ac:dyDescent="0.25">
      <c r="A48" s="38"/>
      <c r="B48" s="38"/>
      <c r="C48" s="39"/>
      <c r="D48" s="38"/>
    </row>
    <row r="49" spans="1:4" x14ac:dyDescent="0.25">
      <c r="A49" s="38"/>
      <c r="B49" s="38"/>
      <c r="C49" s="39"/>
      <c r="D49" s="38"/>
    </row>
    <row r="50" spans="1:4" x14ac:dyDescent="0.25">
      <c r="A50" s="38"/>
      <c r="B50" s="38"/>
      <c r="C50" s="39"/>
      <c r="D50" s="38"/>
    </row>
    <row r="51" spans="1:4" x14ac:dyDescent="0.25">
      <c r="A51" s="38"/>
      <c r="B51" s="38"/>
      <c r="C51" s="38"/>
      <c r="D51" s="38"/>
    </row>
    <row r="52" spans="1:4" x14ac:dyDescent="0.25">
      <c r="A52" s="38"/>
      <c r="B52" s="38"/>
      <c r="C52" s="38"/>
      <c r="D52" s="38"/>
    </row>
  </sheetData>
  <mergeCells count="1">
    <mergeCell ref="E16:F16"/>
  </mergeCells>
  <pageMargins left="0.7" right="0.7" top="0.75" bottom="0.75" header="0.3" footer="0.3"/>
  <pageSetup paperSize="9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CULTIVOS!A2:A127</xm:f>
          </x14:formula1>
          <xm:sqref>G16</xm:sqref>
        </x14:dataValidation>
        <x14:dataValidation type="list" allowBlank="1" showInputMessage="1" showErrorMessage="1">
          <x14:formula1>
            <xm:f>CULTIVOS!A$2:A$127</xm:f>
          </x14:formula1>
          <xm:sqref>G16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Y30"/>
  <sheetViews>
    <sheetView topLeftCell="A5" zoomScale="80" zoomScaleNormal="80" workbookViewId="0">
      <selection activeCell="Y17" sqref="Y17"/>
    </sheetView>
  </sheetViews>
  <sheetFormatPr baseColWidth="10" defaultColWidth="11.42578125" defaultRowHeight="15" x14ac:dyDescent="0.25"/>
  <cols>
    <col min="1" max="1" width="5.7109375" customWidth="1"/>
    <col min="2" max="2" width="14" customWidth="1"/>
    <col min="3" max="8" width="7.140625" customWidth="1"/>
    <col min="9" max="9" width="8.7109375" customWidth="1"/>
    <col min="10" max="10" width="13.7109375" customWidth="1"/>
    <col min="11" max="11" width="9.5703125" customWidth="1"/>
    <col min="12" max="12" width="11" customWidth="1"/>
    <col min="13" max="13" width="6.7109375" customWidth="1"/>
    <col min="14" max="16" width="10.7109375" customWidth="1"/>
    <col min="17" max="17" width="9.7109375" customWidth="1"/>
    <col min="18" max="19" width="8.7109375" style="33" customWidth="1"/>
    <col min="20" max="20" width="11.85546875" customWidth="1"/>
    <col min="21" max="21" width="11.5703125" style="41" customWidth="1"/>
    <col min="22" max="22" width="10.5703125" style="41" hidden="1" customWidth="1"/>
    <col min="23" max="23" width="9" hidden="1" customWidth="1"/>
    <col min="24" max="24" width="10.140625" style="41" customWidth="1"/>
    <col min="25" max="25" width="7.7109375" bestFit="1" customWidth="1"/>
    <col min="258" max="258" width="18" customWidth="1"/>
    <col min="259" max="264" width="7.140625" customWidth="1"/>
    <col min="265" max="265" width="8.7109375" customWidth="1"/>
    <col min="266" max="266" width="13.7109375" customWidth="1"/>
    <col min="267" max="267" width="9.5703125" customWidth="1"/>
    <col min="268" max="268" width="11" customWidth="1"/>
    <col min="269" max="269" width="6.7109375" customWidth="1"/>
    <col min="270" max="272" width="10.7109375" customWidth="1"/>
    <col min="273" max="273" width="9.7109375" customWidth="1"/>
    <col min="274" max="275" width="8.7109375" customWidth="1"/>
    <col min="276" max="276" width="11.85546875" customWidth="1"/>
    <col min="277" max="277" width="11.5703125" customWidth="1"/>
    <col min="278" max="278" width="10.5703125" customWidth="1"/>
    <col min="279" max="279" width="9" bestFit="1" customWidth="1"/>
    <col min="280" max="280" width="10.140625" customWidth="1"/>
    <col min="281" max="281" width="7.7109375" bestFit="1" customWidth="1"/>
    <col min="514" max="514" width="18" customWidth="1"/>
    <col min="515" max="520" width="7.140625" customWidth="1"/>
    <col min="521" max="521" width="8.7109375" customWidth="1"/>
    <col min="522" max="522" width="13.7109375" customWidth="1"/>
    <col min="523" max="523" width="9.5703125" customWidth="1"/>
    <col min="524" max="524" width="11" customWidth="1"/>
    <col min="525" max="525" width="6.7109375" customWidth="1"/>
    <col min="526" max="528" width="10.7109375" customWidth="1"/>
    <col min="529" max="529" width="9.7109375" customWidth="1"/>
    <col min="530" max="531" width="8.7109375" customWidth="1"/>
    <col min="532" max="532" width="11.85546875" customWidth="1"/>
    <col min="533" max="533" width="11.5703125" customWidth="1"/>
    <col min="534" max="534" width="10.5703125" customWidth="1"/>
    <col min="535" max="535" width="9" bestFit="1" customWidth="1"/>
    <col min="536" max="536" width="10.140625" customWidth="1"/>
    <col min="537" max="537" width="7.7109375" bestFit="1" customWidth="1"/>
    <col min="770" max="770" width="18" customWidth="1"/>
    <col min="771" max="776" width="7.140625" customWidth="1"/>
    <col min="777" max="777" width="8.7109375" customWidth="1"/>
    <col min="778" max="778" width="13.7109375" customWidth="1"/>
    <col min="779" max="779" width="9.5703125" customWidth="1"/>
    <col min="780" max="780" width="11" customWidth="1"/>
    <col min="781" max="781" width="6.7109375" customWidth="1"/>
    <col min="782" max="784" width="10.7109375" customWidth="1"/>
    <col min="785" max="785" width="9.7109375" customWidth="1"/>
    <col min="786" max="787" width="8.7109375" customWidth="1"/>
    <col min="788" max="788" width="11.85546875" customWidth="1"/>
    <col min="789" max="789" width="11.5703125" customWidth="1"/>
    <col min="790" max="790" width="10.5703125" customWidth="1"/>
    <col min="791" max="791" width="9" bestFit="1" customWidth="1"/>
    <col min="792" max="792" width="10.140625" customWidth="1"/>
    <col min="793" max="793" width="7.7109375" bestFit="1" customWidth="1"/>
    <col min="1026" max="1026" width="18" customWidth="1"/>
    <col min="1027" max="1032" width="7.140625" customWidth="1"/>
    <col min="1033" max="1033" width="8.7109375" customWidth="1"/>
    <col min="1034" max="1034" width="13.7109375" customWidth="1"/>
    <col min="1035" max="1035" width="9.5703125" customWidth="1"/>
    <col min="1036" max="1036" width="11" customWidth="1"/>
    <col min="1037" max="1037" width="6.7109375" customWidth="1"/>
    <col min="1038" max="1040" width="10.7109375" customWidth="1"/>
    <col min="1041" max="1041" width="9.7109375" customWidth="1"/>
    <col min="1042" max="1043" width="8.7109375" customWidth="1"/>
    <col min="1044" max="1044" width="11.85546875" customWidth="1"/>
    <col min="1045" max="1045" width="11.5703125" customWidth="1"/>
    <col min="1046" max="1046" width="10.5703125" customWidth="1"/>
    <col min="1047" max="1047" width="9" bestFit="1" customWidth="1"/>
    <col min="1048" max="1048" width="10.140625" customWidth="1"/>
    <col min="1049" max="1049" width="7.7109375" bestFit="1" customWidth="1"/>
    <col min="1282" max="1282" width="18" customWidth="1"/>
    <col min="1283" max="1288" width="7.140625" customWidth="1"/>
    <col min="1289" max="1289" width="8.7109375" customWidth="1"/>
    <col min="1290" max="1290" width="13.7109375" customWidth="1"/>
    <col min="1291" max="1291" width="9.5703125" customWidth="1"/>
    <col min="1292" max="1292" width="11" customWidth="1"/>
    <col min="1293" max="1293" width="6.7109375" customWidth="1"/>
    <col min="1294" max="1296" width="10.7109375" customWidth="1"/>
    <col min="1297" max="1297" width="9.7109375" customWidth="1"/>
    <col min="1298" max="1299" width="8.7109375" customWidth="1"/>
    <col min="1300" max="1300" width="11.85546875" customWidth="1"/>
    <col min="1301" max="1301" width="11.5703125" customWidth="1"/>
    <col min="1302" max="1302" width="10.5703125" customWidth="1"/>
    <col min="1303" max="1303" width="9" bestFit="1" customWidth="1"/>
    <col min="1304" max="1304" width="10.140625" customWidth="1"/>
    <col min="1305" max="1305" width="7.7109375" bestFit="1" customWidth="1"/>
    <col min="1538" max="1538" width="18" customWidth="1"/>
    <col min="1539" max="1544" width="7.140625" customWidth="1"/>
    <col min="1545" max="1545" width="8.7109375" customWidth="1"/>
    <col min="1546" max="1546" width="13.7109375" customWidth="1"/>
    <col min="1547" max="1547" width="9.5703125" customWidth="1"/>
    <col min="1548" max="1548" width="11" customWidth="1"/>
    <col min="1549" max="1549" width="6.7109375" customWidth="1"/>
    <col min="1550" max="1552" width="10.7109375" customWidth="1"/>
    <col min="1553" max="1553" width="9.7109375" customWidth="1"/>
    <col min="1554" max="1555" width="8.7109375" customWidth="1"/>
    <col min="1556" max="1556" width="11.85546875" customWidth="1"/>
    <col min="1557" max="1557" width="11.5703125" customWidth="1"/>
    <col min="1558" max="1558" width="10.5703125" customWidth="1"/>
    <col min="1559" max="1559" width="9" bestFit="1" customWidth="1"/>
    <col min="1560" max="1560" width="10.140625" customWidth="1"/>
    <col min="1561" max="1561" width="7.7109375" bestFit="1" customWidth="1"/>
    <col min="1794" max="1794" width="18" customWidth="1"/>
    <col min="1795" max="1800" width="7.140625" customWidth="1"/>
    <col min="1801" max="1801" width="8.7109375" customWidth="1"/>
    <col min="1802" max="1802" width="13.7109375" customWidth="1"/>
    <col min="1803" max="1803" width="9.5703125" customWidth="1"/>
    <col min="1804" max="1804" width="11" customWidth="1"/>
    <col min="1805" max="1805" width="6.7109375" customWidth="1"/>
    <col min="1806" max="1808" width="10.7109375" customWidth="1"/>
    <col min="1809" max="1809" width="9.7109375" customWidth="1"/>
    <col min="1810" max="1811" width="8.7109375" customWidth="1"/>
    <col min="1812" max="1812" width="11.85546875" customWidth="1"/>
    <col min="1813" max="1813" width="11.5703125" customWidth="1"/>
    <col min="1814" max="1814" width="10.5703125" customWidth="1"/>
    <col min="1815" max="1815" width="9" bestFit="1" customWidth="1"/>
    <col min="1816" max="1816" width="10.140625" customWidth="1"/>
    <col min="1817" max="1817" width="7.7109375" bestFit="1" customWidth="1"/>
    <col min="2050" max="2050" width="18" customWidth="1"/>
    <col min="2051" max="2056" width="7.140625" customWidth="1"/>
    <col min="2057" max="2057" width="8.7109375" customWidth="1"/>
    <col min="2058" max="2058" width="13.7109375" customWidth="1"/>
    <col min="2059" max="2059" width="9.5703125" customWidth="1"/>
    <col min="2060" max="2060" width="11" customWidth="1"/>
    <col min="2061" max="2061" width="6.7109375" customWidth="1"/>
    <col min="2062" max="2064" width="10.7109375" customWidth="1"/>
    <col min="2065" max="2065" width="9.7109375" customWidth="1"/>
    <col min="2066" max="2067" width="8.7109375" customWidth="1"/>
    <col min="2068" max="2068" width="11.85546875" customWidth="1"/>
    <col min="2069" max="2069" width="11.5703125" customWidth="1"/>
    <col min="2070" max="2070" width="10.5703125" customWidth="1"/>
    <col min="2071" max="2071" width="9" bestFit="1" customWidth="1"/>
    <col min="2072" max="2072" width="10.140625" customWidth="1"/>
    <col min="2073" max="2073" width="7.7109375" bestFit="1" customWidth="1"/>
    <col min="2306" max="2306" width="18" customWidth="1"/>
    <col min="2307" max="2312" width="7.140625" customWidth="1"/>
    <col min="2313" max="2313" width="8.7109375" customWidth="1"/>
    <col min="2314" max="2314" width="13.7109375" customWidth="1"/>
    <col min="2315" max="2315" width="9.5703125" customWidth="1"/>
    <col min="2316" max="2316" width="11" customWidth="1"/>
    <col min="2317" max="2317" width="6.7109375" customWidth="1"/>
    <col min="2318" max="2320" width="10.7109375" customWidth="1"/>
    <col min="2321" max="2321" width="9.7109375" customWidth="1"/>
    <col min="2322" max="2323" width="8.7109375" customWidth="1"/>
    <col min="2324" max="2324" width="11.85546875" customWidth="1"/>
    <col min="2325" max="2325" width="11.5703125" customWidth="1"/>
    <col min="2326" max="2326" width="10.5703125" customWidth="1"/>
    <col min="2327" max="2327" width="9" bestFit="1" customWidth="1"/>
    <col min="2328" max="2328" width="10.140625" customWidth="1"/>
    <col min="2329" max="2329" width="7.7109375" bestFit="1" customWidth="1"/>
    <col min="2562" max="2562" width="18" customWidth="1"/>
    <col min="2563" max="2568" width="7.140625" customWidth="1"/>
    <col min="2569" max="2569" width="8.7109375" customWidth="1"/>
    <col min="2570" max="2570" width="13.7109375" customWidth="1"/>
    <col min="2571" max="2571" width="9.5703125" customWidth="1"/>
    <col min="2572" max="2572" width="11" customWidth="1"/>
    <col min="2573" max="2573" width="6.7109375" customWidth="1"/>
    <col min="2574" max="2576" width="10.7109375" customWidth="1"/>
    <col min="2577" max="2577" width="9.7109375" customWidth="1"/>
    <col min="2578" max="2579" width="8.7109375" customWidth="1"/>
    <col min="2580" max="2580" width="11.85546875" customWidth="1"/>
    <col min="2581" max="2581" width="11.5703125" customWidth="1"/>
    <col min="2582" max="2582" width="10.5703125" customWidth="1"/>
    <col min="2583" max="2583" width="9" bestFit="1" customWidth="1"/>
    <col min="2584" max="2584" width="10.140625" customWidth="1"/>
    <col min="2585" max="2585" width="7.7109375" bestFit="1" customWidth="1"/>
    <col min="2818" max="2818" width="18" customWidth="1"/>
    <col min="2819" max="2824" width="7.140625" customWidth="1"/>
    <col min="2825" max="2825" width="8.7109375" customWidth="1"/>
    <col min="2826" max="2826" width="13.7109375" customWidth="1"/>
    <col min="2827" max="2827" width="9.5703125" customWidth="1"/>
    <col min="2828" max="2828" width="11" customWidth="1"/>
    <col min="2829" max="2829" width="6.7109375" customWidth="1"/>
    <col min="2830" max="2832" width="10.7109375" customWidth="1"/>
    <col min="2833" max="2833" width="9.7109375" customWidth="1"/>
    <col min="2834" max="2835" width="8.7109375" customWidth="1"/>
    <col min="2836" max="2836" width="11.85546875" customWidth="1"/>
    <col min="2837" max="2837" width="11.5703125" customWidth="1"/>
    <col min="2838" max="2838" width="10.5703125" customWidth="1"/>
    <col min="2839" max="2839" width="9" bestFit="1" customWidth="1"/>
    <col min="2840" max="2840" width="10.140625" customWidth="1"/>
    <col min="2841" max="2841" width="7.7109375" bestFit="1" customWidth="1"/>
    <col min="3074" max="3074" width="18" customWidth="1"/>
    <col min="3075" max="3080" width="7.140625" customWidth="1"/>
    <col min="3081" max="3081" width="8.7109375" customWidth="1"/>
    <col min="3082" max="3082" width="13.7109375" customWidth="1"/>
    <col min="3083" max="3083" width="9.5703125" customWidth="1"/>
    <col min="3084" max="3084" width="11" customWidth="1"/>
    <col min="3085" max="3085" width="6.7109375" customWidth="1"/>
    <col min="3086" max="3088" width="10.7109375" customWidth="1"/>
    <col min="3089" max="3089" width="9.7109375" customWidth="1"/>
    <col min="3090" max="3091" width="8.7109375" customWidth="1"/>
    <col min="3092" max="3092" width="11.85546875" customWidth="1"/>
    <col min="3093" max="3093" width="11.5703125" customWidth="1"/>
    <col min="3094" max="3094" width="10.5703125" customWidth="1"/>
    <col min="3095" max="3095" width="9" bestFit="1" customWidth="1"/>
    <col min="3096" max="3096" width="10.140625" customWidth="1"/>
    <col min="3097" max="3097" width="7.7109375" bestFit="1" customWidth="1"/>
    <col min="3330" max="3330" width="18" customWidth="1"/>
    <col min="3331" max="3336" width="7.140625" customWidth="1"/>
    <col min="3337" max="3337" width="8.7109375" customWidth="1"/>
    <col min="3338" max="3338" width="13.7109375" customWidth="1"/>
    <col min="3339" max="3339" width="9.5703125" customWidth="1"/>
    <col min="3340" max="3340" width="11" customWidth="1"/>
    <col min="3341" max="3341" width="6.7109375" customWidth="1"/>
    <col min="3342" max="3344" width="10.7109375" customWidth="1"/>
    <col min="3345" max="3345" width="9.7109375" customWidth="1"/>
    <col min="3346" max="3347" width="8.7109375" customWidth="1"/>
    <col min="3348" max="3348" width="11.85546875" customWidth="1"/>
    <col min="3349" max="3349" width="11.5703125" customWidth="1"/>
    <col min="3350" max="3350" width="10.5703125" customWidth="1"/>
    <col min="3351" max="3351" width="9" bestFit="1" customWidth="1"/>
    <col min="3352" max="3352" width="10.140625" customWidth="1"/>
    <col min="3353" max="3353" width="7.7109375" bestFit="1" customWidth="1"/>
    <col min="3586" max="3586" width="18" customWidth="1"/>
    <col min="3587" max="3592" width="7.140625" customWidth="1"/>
    <col min="3593" max="3593" width="8.7109375" customWidth="1"/>
    <col min="3594" max="3594" width="13.7109375" customWidth="1"/>
    <col min="3595" max="3595" width="9.5703125" customWidth="1"/>
    <col min="3596" max="3596" width="11" customWidth="1"/>
    <col min="3597" max="3597" width="6.7109375" customWidth="1"/>
    <col min="3598" max="3600" width="10.7109375" customWidth="1"/>
    <col min="3601" max="3601" width="9.7109375" customWidth="1"/>
    <col min="3602" max="3603" width="8.7109375" customWidth="1"/>
    <col min="3604" max="3604" width="11.85546875" customWidth="1"/>
    <col min="3605" max="3605" width="11.5703125" customWidth="1"/>
    <col min="3606" max="3606" width="10.5703125" customWidth="1"/>
    <col min="3607" max="3607" width="9" bestFit="1" customWidth="1"/>
    <col min="3608" max="3608" width="10.140625" customWidth="1"/>
    <col min="3609" max="3609" width="7.7109375" bestFit="1" customWidth="1"/>
    <col min="3842" max="3842" width="18" customWidth="1"/>
    <col min="3843" max="3848" width="7.140625" customWidth="1"/>
    <col min="3849" max="3849" width="8.7109375" customWidth="1"/>
    <col min="3850" max="3850" width="13.7109375" customWidth="1"/>
    <col min="3851" max="3851" width="9.5703125" customWidth="1"/>
    <col min="3852" max="3852" width="11" customWidth="1"/>
    <col min="3853" max="3853" width="6.7109375" customWidth="1"/>
    <col min="3854" max="3856" width="10.7109375" customWidth="1"/>
    <col min="3857" max="3857" width="9.7109375" customWidth="1"/>
    <col min="3858" max="3859" width="8.7109375" customWidth="1"/>
    <col min="3860" max="3860" width="11.85546875" customWidth="1"/>
    <col min="3861" max="3861" width="11.5703125" customWidth="1"/>
    <col min="3862" max="3862" width="10.5703125" customWidth="1"/>
    <col min="3863" max="3863" width="9" bestFit="1" customWidth="1"/>
    <col min="3864" max="3864" width="10.140625" customWidth="1"/>
    <col min="3865" max="3865" width="7.7109375" bestFit="1" customWidth="1"/>
    <col min="4098" max="4098" width="18" customWidth="1"/>
    <col min="4099" max="4104" width="7.140625" customWidth="1"/>
    <col min="4105" max="4105" width="8.7109375" customWidth="1"/>
    <col min="4106" max="4106" width="13.7109375" customWidth="1"/>
    <col min="4107" max="4107" width="9.5703125" customWidth="1"/>
    <col min="4108" max="4108" width="11" customWidth="1"/>
    <col min="4109" max="4109" width="6.7109375" customWidth="1"/>
    <col min="4110" max="4112" width="10.7109375" customWidth="1"/>
    <col min="4113" max="4113" width="9.7109375" customWidth="1"/>
    <col min="4114" max="4115" width="8.7109375" customWidth="1"/>
    <col min="4116" max="4116" width="11.85546875" customWidth="1"/>
    <col min="4117" max="4117" width="11.5703125" customWidth="1"/>
    <col min="4118" max="4118" width="10.5703125" customWidth="1"/>
    <col min="4119" max="4119" width="9" bestFit="1" customWidth="1"/>
    <col min="4120" max="4120" width="10.140625" customWidth="1"/>
    <col min="4121" max="4121" width="7.7109375" bestFit="1" customWidth="1"/>
    <col min="4354" max="4354" width="18" customWidth="1"/>
    <col min="4355" max="4360" width="7.140625" customWidth="1"/>
    <col min="4361" max="4361" width="8.7109375" customWidth="1"/>
    <col min="4362" max="4362" width="13.7109375" customWidth="1"/>
    <col min="4363" max="4363" width="9.5703125" customWidth="1"/>
    <col min="4364" max="4364" width="11" customWidth="1"/>
    <col min="4365" max="4365" width="6.7109375" customWidth="1"/>
    <col min="4366" max="4368" width="10.7109375" customWidth="1"/>
    <col min="4369" max="4369" width="9.7109375" customWidth="1"/>
    <col min="4370" max="4371" width="8.7109375" customWidth="1"/>
    <col min="4372" max="4372" width="11.85546875" customWidth="1"/>
    <col min="4373" max="4373" width="11.5703125" customWidth="1"/>
    <col min="4374" max="4374" width="10.5703125" customWidth="1"/>
    <col min="4375" max="4375" width="9" bestFit="1" customWidth="1"/>
    <col min="4376" max="4376" width="10.140625" customWidth="1"/>
    <col min="4377" max="4377" width="7.7109375" bestFit="1" customWidth="1"/>
    <col min="4610" max="4610" width="18" customWidth="1"/>
    <col min="4611" max="4616" width="7.140625" customWidth="1"/>
    <col min="4617" max="4617" width="8.7109375" customWidth="1"/>
    <col min="4618" max="4618" width="13.7109375" customWidth="1"/>
    <col min="4619" max="4619" width="9.5703125" customWidth="1"/>
    <col min="4620" max="4620" width="11" customWidth="1"/>
    <col min="4621" max="4621" width="6.7109375" customWidth="1"/>
    <col min="4622" max="4624" width="10.7109375" customWidth="1"/>
    <col min="4625" max="4625" width="9.7109375" customWidth="1"/>
    <col min="4626" max="4627" width="8.7109375" customWidth="1"/>
    <col min="4628" max="4628" width="11.85546875" customWidth="1"/>
    <col min="4629" max="4629" width="11.5703125" customWidth="1"/>
    <col min="4630" max="4630" width="10.5703125" customWidth="1"/>
    <col min="4631" max="4631" width="9" bestFit="1" customWidth="1"/>
    <col min="4632" max="4632" width="10.140625" customWidth="1"/>
    <col min="4633" max="4633" width="7.7109375" bestFit="1" customWidth="1"/>
    <col min="4866" max="4866" width="18" customWidth="1"/>
    <col min="4867" max="4872" width="7.140625" customWidth="1"/>
    <col min="4873" max="4873" width="8.7109375" customWidth="1"/>
    <col min="4874" max="4874" width="13.7109375" customWidth="1"/>
    <col min="4875" max="4875" width="9.5703125" customWidth="1"/>
    <col min="4876" max="4876" width="11" customWidth="1"/>
    <col min="4877" max="4877" width="6.7109375" customWidth="1"/>
    <col min="4878" max="4880" width="10.7109375" customWidth="1"/>
    <col min="4881" max="4881" width="9.7109375" customWidth="1"/>
    <col min="4882" max="4883" width="8.7109375" customWidth="1"/>
    <col min="4884" max="4884" width="11.85546875" customWidth="1"/>
    <col min="4885" max="4885" width="11.5703125" customWidth="1"/>
    <col min="4886" max="4886" width="10.5703125" customWidth="1"/>
    <col min="4887" max="4887" width="9" bestFit="1" customWidth="1"/>
    <col min="4888" max="4888" width="10.140625" customWidth="1"/>
    <col min="4889" max="4889" width="7.7109375" bestFit="1" customWidth="1"/>
    <col min="5122" max="5122" width="18" customWidth="1"/>
    <col min="5123" max="5128" width="7.140625" customWidth="1"/>
    <col min="5129" max="5129" width="8.7109375" customWidth="1"/>
    <col min="5130" max="5130" width="13.7109375" customWidth="1"/>
    <col min="5131" max="5131" width="9.5703125" customWidth="1"/>
    <col min="5132" max="5132" width="11" customWidth="1"/>
    <col min="5133" max="5133" width="6.7109375" customWidth="1"/>
    <col min="5134" max="5136" width="10.7109375" customWidth="1"/>
    <col min="5137" max="5137" width="9.7109375" customWidth="1"/>
    <col min="5138" max="5139" width="8.7109375" customWidth="1"/>
    <col min="5140" max="5140" width="11.85546875" customWidth="1"/>
    <col min="5141" max="5141" width="11.5703125" customWidth="1"/>
    <col min="5142" max="5142" width="10.5703125" customWidth="1"/>
    <col min="5143" max="5143" width="9" bestFit="1" customWidth="1"/>
    <col min="5144" max="5144" width="10.140625" customWidth="1"/>
    <col min="5145" max="5145" width="7.7109375" bestFit="1" customWidth="1"/>
    <col min="5378" max="5378" width="18" customWidth="1"/>
    <col min="5379" max="5384" width="7.140625" customWidth="1"/>
    <col min="5385" max="5385" width="8.7109375" customWidth="1"/>
    <col min="5386" max="5386" width="13.7109375" customWidth="1"/>
    <col min="5387" max="5387" width="9.5703125" customWidth="1"/>
    <col min="5388" max="5388" width="11" customWidth="1"/>
    <col min="5389" max="5389" width="6.7109375" customWidth="1"/>
    <col min="5390" max="5392" width="10.7109375" customWidth="1"/>
    <col min="5393" max="5393" width="9.7109375" customWidth="1"/>
    <col min="5394" max="5395" width="8.7109375" customWidth="1"/>
    <col min="5396" max="5396" width="11.85546875" customWidth="1"/>
    <col min="5397" max="5397" width="11.5703125" customWidth="1"/>
    <col min="5398" max="5398" width="10.5703125" customWidth="1"/>
    <col min="5399" max="5399" width="9" bestFit="1" customWidth="1"/>
    <col min="5400" max="5400" width="10.140625" customWidth="1"/>
    <col min="5401" max="5401" width="7.7109375" bestFit="1" customWidth="1"/>
    <col min="5634" max="5634" width="18" customWidth="1"/>
    <col min="5635" max="5640" width="7.140625" customWidth="1"/>
    <col min="5641" max="5641" width="8.7109375" customWidth="1"/>
    <col min="5642" max="5642" width="13.7109375" customWidth="1"/>
    <col min="5643" max="5643" width="9.5703125" customWidth="1"/>
    <col min="5644" max="5644" width="11" customWidth="1"/>
    <col min="5645" max="5645" width="6.7109375" customWidth="1"/>
    <col min="5646" max="5648" width="10.7109375" customWidth="1"/>
    <col min="5649" max="5649" width="9.7109375" customWidth="1"/>
    <col min="5650" max="5651" width="8.7109375" customWidth="1"/>
    <col min="5652" max="5652" width="11.85546875" customWidth="1"/>
    <col min="5653" max="5653" width="11.5703125" customWidth="1"/>
    <col min="5654" max="5654" width="10.5703125" customWidth="1"/>
    <col min="5655" max="5655" width="9" bestFit="1" customWidth="1"/>
    <col min="5656" max="5656" width="10.140625" customWidth="1"/>
    <col min="5657" max="5657" width="7.7109375" bestFit="1" customWidth="1"/>
    <col min="5890" max="5890" width="18" customWidth="1"/>
    <col min="5891" max="5896" width="7.140625" customWidth="1"/>
    <col min="5897" max="5897" width="8.7109375" customWidth="1"/>
    <col min="5898" max="5898" width="13.7109375" customWidth="1"/>
    <col min="5899" max="5899" width="9.5703125" customWidth="1"/>
    <col min="5900" max="5900" width="11" customWidth="1"/>
    <col min="5901" max="5901" width="6.7109375" customWidth="1"/>
    <col min="5902" max="5904" width="10.7109375" customWidth="1"/>
    <col min="5905" max="5905" width="9.7109375" customWidth="1"/>
    <col min="5906" max="5907" width="8.7109375" customWidth="1"/>
    <col min="5908" max="5908" width="11.85546875" customWidth="1"/>
    <col min="5909" max="5909" width="11.5703125" customWidth="1"/>
    <col min="5910" max="5910" width="10.5703125" customWidth="1"/>
    <col min="5911" max="5911" width="9" bestFit="1" customWidth="1"/>
    <col min="5912" max="5912" width="10.140625" customWidth="1"/>
    <col min="5913" max="5913" width="7.7109375" bestFit="1" customWidth="1"/>
    <col min="6146" max="6146" width="18" customWidth="1"/>
    <col min="6147" max="6152" width="7.140625" customWidth="1"/>
    <col min="6153" max="6153" width="8.7109375" customWidth="1"/>
    <col min="6154" max="6154" width="13.7109375" customWidth="1"/>
    <col min="6155" max="6155" width="9.5703125" customWidth="1"/>
    <col min="6156" max="6156" width="11" customWidth="1"/>
    <col min="6157" max="6157" width="6.7109375" customWidth="1"/>
    <col min="6158" max="6160" width="10.7109375" customWidth="1"/>
    <col min="6161" max="6161" width="9.7109375" customWidth="1"/>
    <col min="6162" max="6163" width="8.7109375" customWidth="1"/>
    <col min="6164" max="6164" width="11.85546875" customWidth="1"/>
    <col min="6165" max="6165" width="11.5703125" customWidth="1"/>
    <col min="6166" max="6166" width="10.5703125" customWidth="1"/>
    <col min="6167" max="6167" width="9" bestFit="1" customWidth="1"/>
    <col min="6168" max="6168" width="10.140625" customWidth="1"/>
    <col min="6169" max="6169" width="7.7109375" bestFit="1" customWidth="1"/>
    <col min="6402" max="6402" width="18" customWidth="1"/>
    <col min="6403" max="6408" width="7.140625" customWidth="1"/>
    <col min="6409" max="6409" width="8.7109375" customWidth="1"/>
    <col min="6410" max="6410" width="13.7109375" customWidth="1"/>
    <col min="6411" max="6411" width="9.5703125" customWidth="1"/>
    <col min="6412" max="6412" width="11" customWidth="1"/>
    <col min="6413" max="6413" width="6.7109375" customWidth="1"/>
    <col min="6414" max="6416" width="10.7109375" customWidth="1"/>
    <col min="6417" max="6417" width="9.7109375" customWidth="1"/>
    <col min="6418" max="6419" width="8.7109375" customWidth="1"/>
    <col min="6420" max="6420" width="11.85546875" customWidth="1"/>
    <col min="6421" max="6421" width="11.5703125" customWidth="1"/>
    <col min="6422" max="6422" width="10.5703125" customWidth="1"/>
    <col min="6423" max="6423" width="9" bestFit="1" customWidth="1"/>
    <col min="6424" max="6424" width="10.140625" customWidth="1"/>
    <col min="6425" max="6425" width="7.7109375" bestFit="1" customWidth="1"/>
    <col min="6658" max="6658" width="18" customWidth="1"/>
    <col min="6659" max="6664" width="7.140625" customWidth="1"/>
    <col min="6665" max="6665" width="8.7109375" customWidth="1"/>
    <col min="6666" max="6666" width="13.7109375" customWidth="1"/>
    <col min="6667" max="6667" width="9.5703125" customWidth="1"/>
    <col min="6668" max="6668" width="11" customWidth="1"/>
    <col min="6669" max="6669" width="6.7109375" customWidth="1"/>
    <col min="6670" max="6672" width="10.7109375" customWidth="1"/>
    <col min="6673" max="6673" width="9.7109375" customWidth="1"/>
    <col min="6674" max="6675" width="8.7109375" customWidth="1"/>
    <col min="6676" max="6676" width="11.85546875" customWidth="1"/>
    <col min="6677" max="6677" width="11.5703125" customWidth="1"/>
    <col min="6678" max="6678" width="10.5703125" customWidth="1"/>
    <col min="6679" max="6679" width="9" bestFit="1" customWidth="1"/>
    <col min="6680" max="6680" width="10.140625" customWidth="1"/>
    <col min="6681" max="6681" width="7.7109375" bestFit="1" customWidth="1"/>
    <col min="6914" max="6914" width="18" customWidth="1"/>
    <col min="6915" max="6920" width="7.140625" customWidth="1"/>
    <col min="6921" max="6921" width="8.7109375" customWidth="1"/>
    <col min="6922" max="6922" width="13.7109375" customWidth="1"/>
    <col min="6923" max="6923" width="9.5703125" customWidth="1"/>
    <col min="6924" max="6924" width="11" customWidth="1"/>
    <col min="6925" max="6925" width="6.7109375" customWidth="1"/>
    <col min="6926" max="6928" width="10.7109375" customWidth="1"/>
    <col min="6929" max="6929" width="9.7109375" customWidth="1"/>
    <col min="6930" max="6931" width="8.7109375" customWidth="1"/>
    <col min="6932" max="6932" width="11.85546875" customWidth="1"/>
    <col min="6933" max="6933" width="11.5703125" customWidth="1"/>
    <col min="6934" max="6934" width="10.5703125" customWidth="1"/>
    <col min="6935" max="6935" width="9" bestFit="1" customWidth="1"/>
    <col min="6936" max="6936" width="10.140625" customWidth="1"/>
    <col min="6937" max="6937" width="7.7109375" bestFit="1" customWidth="1"/>
    <col min="7170" max="7170" width="18" customWidth="1"/>
    <col min="7171" max="7176" width="7.140625" customWidth="1"/>
    <col min="7177" max="7177" width="8.7109375" customWidth="1"/>
    <col min="7178" max="7178" width="13.7109375" customWidth="1"/>
    <col min="7179" max="7179" width="9.5703125" customWidth="1"/>
    <col min="7180" max="7180" width="11" customWidth="1"/>
    <col min="7181" max="7181" width="6.7109375" customWidth="1"/>
    <col min="7182" max="7184" width="10.7109375" customWidth="1"/>
    <col min="7185" max="7185" width="9.7109375" customWidth="1"/>
    <col min="7186" max="7187" width="8.7109375" customWidth="1"/>
    <col min="7188" max="7188" width="11.85546875" customWidth="1"/>
    <col min="7189" max="7189" width="11.5703125" customWidth="1"/>
    <col min="7190" max="7190" width="10.5703125" customWidth="1"/>
    <col min="7191" max="7191" width="9" bestFit="1" customWidth="1"/>
    <col min="7192" max="7192" width="10.140625" customWidth="1"/>
    <col min="7193" max="7193" width="7.7109375" bestFit="1" customWidth="1"/>
    <col min="7426" max="7426" width="18" customWidth="1"/>
    <col min="7427" max="7432" width="7.140625" customWidth="1"/>
    <col min="7433" max="7433" width="8.7109375" customWidth="1"/>
    <col min="7434" max="7434" width="13.7109375" customWidth="1"/>
    <col min="7435" max="7435" width="9.5703125" customWidth="1"/>
    <col min="7436" max="7436" width="11" customWidth="1"/>
    <col min="7437" max="7437" width="6.7109375" customWidth="1"/>
    <col min="7438" max="7440" width="10.7109375" customWidth="1"/>
    <col min="7441" max="7441" width="9.7109375" customWidth="1"/>
    <col min="7442" max="7443" width="8.7109375" customWidth="1"/>
    <col min="7444" max="7444" width="11.85546875" customWidth="1"/>
    <col min="7445" max="7445" width="11.5703125" customWidth="1"/>
    <col min="7446" max="7446" width="10.5703125" customWidth="1"/>
    <col min="7447" max="7447" width="9" bestFit="1" customWidth="1"/>
    <col min="7448" max="7448" width="10.140625" customWidth="1"/>
    <col min="7449" max="7449" width="7.7109375" bestFit="1" customWidth="1"/>
    <col min="7682" max="7682" width="18" customWidth="1"/>
    <col min="7683" max="7688" width="7.140625" customWidth="1"/>
    <col min="7689" max="7689" width="8.7109375" customWidth="1"/>
    <col min="7690" max="7690" width="13.7109375" customWidth="1"/>
    <col min="7691" max="7691" width="9.5703125" customWidth="1"/>
    <col min="7692" max="7692" width="11" customWidth="1"/>
    <col min="7693" max="7693" width="6.7109375" customWidth="1"/>
    <col min="7694" max="7696" width="10.7109375" customWidth="1"/>
    <col min="7697" max="7697" width="9.7109375" customWidth="1"/>
    <col min="7698" max="7699" width="8.7109375" customWidth="1"/>
    <col min="7700" max="7700" width="11.85546875" customWidth="1"/>
    <col min="7701" max="7701" width="11.5703125" customWidth="1"/>
    <col min="7702" max="7702" width="10.5703125" customWidth="1"/>
    <col min="7703" max="7703" width="9" bestFit="1" customWidth="1"/>
    <col min="7704" max="7704" width="10.140625" customWidth="1"/>
    <col min="7705" max="7705" width="7.7109375" bestFit="1" customWidth="1"/>
    <col min="7938" max="7938" width="18" customWidth="1"/>
    <col min="7939" max="7944" width="7.140625" customWidth="1"/>
    <col min="7945" max="7945" width="8.7109375" customWidth="1"/>
    <col min="7946" max="7946" width="13.7109375" customWidth="1"/>
    <col min="7947" max="7947" width="9.5703125" customWidth="1"/>
    <col min="7948" max="7948" width="11" customWidth="1"/>
    <col min="7949" max="7949" width="6.7109375" customWidth="1"/>
    <col min="7950" max="7952" width="10.7109375" customWidth="1"/>
    <col min="7953" max="7953" width="9.7109375" customWidth="1"/>
    <col min="7954" max="7955" width="8.7109375" customWidth="1"/>
    <col min="7956" max="7956" width="11.85546875" customWidth="1"/>
    <col min="7957" max="7957" width="11.5703125" customWidth="1"/>
    <col min="7958" max="7958" width="10.5703125" customWidth="1"/>
    <col min="7959" max="7959" width="9" bestFit="1" customWidth="1"/>
    <col min="7960" max="7960" width="10.140625" customWidth="1"/>
    <col min="7961" max="7961" width="7.7109375" bestFit="1" customWidth="1"/>
    <col min="8194" max="8194" width="18" customWidth="1"/>
    <col min="8195" max="8200" width="7.140625" customWidth="1"/>
    <col min="8201" max="8201" width="8.7109375" customWidth="1"/>
    <col min="8202" max="8202" width="13.7109375" customWidth="1"/>
    <col min="8203" max="8203" width="9.5703125" customWidth="1"/>
    <col min="8204" max="8204" width="11" customWidth="1"/>
    <col min="8205" max="8205" width="6.7109375" customWidth="1"/>
    <col min="8206" max="8208" width="10.7109375" customWidth="1"/>
    <col min="8209" max="8209" width="9.7109375" customWidth="1"/>
    <col min="8210" max="8211" width="8.7109375" customWidth="1"/>
    <col min="8212" max="8212" width="11.85546875" customWidth="1"/>
    <col min="8213" max="8213" width="11.5703125" customWidth="1"/>
    <col min="8214" max="8214" width="10.5703125" customWidth="1"/>
    <col min="8215" max="8215" width="9" bestFit="1" customWidth="1"/>
    <col min="8216" max="8216" width="10.140625" customWidth="1"/>
    <col min="8217" max="8217" width="7.7109375" bestFit="1" customWidth="1"/>
    <col min="8450" max="8450" width="18" customWidth="1"/>
    <col min="8451" max="8456" width="7.140625" customWidth="1"/>
    <col min="8457" max="8457" width="8.7109375" customWidth="1"/>
    <col min="8458" max="8458" width="13.7109375" customWidth="1"/>
    <col min="8459" max="8459" width="9.5703125" customWidth="1"/>
    <col min="8460" max="8460" width="11" customWidth="1"/>
    <col min="8461" max="8461" width="6.7109375" customWidth="1"/>
    <col min="8462" max="8464" width="10.7109375" customWidth="1"/>
    <col min="8465" max="8465" width="9.7109375" customWidth="1"/>
    <col min="8466" max="8467" width="8.7109375" customWidth="1"/>
    <col min="8468" max="8468" width="11.85546875" customWidth="1"/>
    <col min="8469" max="8469" width="11.5703125" customWidth="1"/>
    <col min="8470" max="8470" width="10.5703125" customWidth="1"/>
    <col min="8471" max="8471" width="9" bestFit="1" customWidth="1"/>
    <col min="8472" max="8472" width="10.140625" customWidth="1"/>
    <col min="8473" max="8473" width="7.7109375" bestFit="1" customWidth="1"/>
    <col min="8706" max="8706" width="18" customWidth="1"/>
    <col min="8707" max="8712" width="7.140625" customWidth="1"/>
    <col min="8713" max="8713" width="8.7109375" customWidth="1"/>
    <col min="8714" max="8714" width="13.7109375" customWidth="1"/>
    <col min="8715" max="8715" width="9.5703125" customWidth="1"/>
    <col min="8716" max="8716" width="11" customWidth="1"/>
    <col min="8717" max="8717" width="6.7109375" customWidth="1"/>
    <col min="8718" max="8720" width="10.7109375" customWidth="1"/>
    <col min="8721" max="8721" width="9.7109375" customWidth="1"/>
    <col min="8722" max="8723" width="8.7109375" customWidth="1"/>
    <col min="8724" max="8724" width="11.85546875" customWidth="1"/>
    <col min="8725" max="8725" width="11.5703125" customWidth="1"/>
    <col min="8726" max="8726" width="10.5703125" customWidth="1"/>
    <col min="8727" max="8727" width="9" bestFit="1" customWidth="1"/>
    <col min="8728" max="8728" width="10.140625" customWidth="1"/>
    <col min="8729" max="8729" width="7.7109375" bestFit="1" customWidth="1"/>
    <col min="8962" max="8962" width="18" customWidth="1"/>
    <col min="8963" max="8968" width="7.140625" customWidth="1"/>
    <col min="8969" max="8969" width="8.7109375" customWidth="1"/>
    <col min="8970" max="8970" width="13.7109375" customWidth="1"/>
    <col min="8971" max="8971" width="9.5703125" customWidth="1"/>
    <col min="8972" max="8972" width="11" customWidth="1"/>
    <col min="8973" max="8973" width="6.7109375" customWidth="1"/>
    <col min="8974" max="8976" width="10.7109375" customWidth="1"/>
    <col min="8977" max="8977" width="9.7109375" customWidth="1"/>
    <col min="8978" max="8979" width="8.7109375" customWidth="1"/>
    <col min="8980" max="8980" width="11.85546875" customWidth="1"/>
    <col min="8981" max="8981" width="11.5703125" customWidth="1"/>
    <col min="8982" max="8982" width="10.5703125" customWidth="1"/>
    <col min="8983" max="8983" width="9" bestFit="1" customWidth="1"/>
    <col min="8984" max="8984" width="10.140625" customWidth="1"/>
    <col min="8985" max="8985" width="7.7109375" bestFit="1" customWidth="1"/>
    <col min="9218" max="9218" width="18" customWidth="1"/>
    <col min="9219" max="9224" width="7.140625" customWidth="1"/>
    <col min="9225" max="9225" width="8.7109375" customWidth="1"/>
    <col min="9226" max="9226" width="13.7109375" customWidth="1"/>
    <col min="9227" max="9227" width="9.5703125" customWidth="1"/>
    <col min="9228" max="9228" width="11" customWidth="1"/>
    <col min="9229" max="9229" width="6.7109375" customWidth="1"/>
    <col min="9230" max="9232" width="10.7109375" customWidth="1"/>
    <col min="9233" max="9233" width="9.7109375" customWidth="1"/>
    <col min="9234" max="9235" width="8.7109375" customWidth="1"/>
    <col min="9236" max="9236" width="11.85546875" customWidth="1"/>
    <col min="9237" max="9237" width="11.5703125" customWidth="1"/>
    <col min="9238" max="9238" width="10.5703125" customWidth="1"/>
    <col min="9239" max="9239" width="9" bestFit="1" customWidth="1"/>
    <col min="9240" max="9240" width="10.140625" customWidth="1"/>
    <col min="9241" max="9241" width="7.7109375" bestFit="1" customWidth="1"/>
    <col min="9474" max="9474" width="18" customWidth="1"/>
    <col min="9475" max="9480" width="7.140625" customWidth="1"/>
    <col min="9481" max="9481" width="8.7109375" customWidth="1"/>
    <col min="9482" max="9482" width="13.7109375" customWidth="1"/>
    <col min="9483" max="9483" width="9.5703125" customWidth="1"/>
    <col min="9484" max="9484" width="11" customWidth="1"/>
    <col min="9485" max="9485" width="6.7109375" customWidth="1"/>
    <col min="9486" max="9488" width="10.7109375" customWidth="1"/>
    <col min="9489" max="9489" width="9.7109375" customWidth="1"/>
    <col min="9490" max="9491" width="8.7109375" customWidth="1"/>
    <col min="9492" max="9492" width="11.85546875" customWidth="1"/>
    <col min="9493" max="9493" width="11.5703125" customWidth="1"/>
    <col min="9494" max="9494" width="10.5703125" customWidth="1"/>
    <col min="9495" max="9495" width="9" bestFit="1" customWidth="1"/>
    <col min="9496" max="9496" width="10.140625" customWidth="1"/>
    <col min="9497" max="9497" width="7.7109375" bestFit="1" customWidth="1"/>
    <col min="9730" max="9730" width="18" customWidth="1"/>
    <col min="9731" max="9736" width="7.140625" customWidth="1"/>
    <col min="9737" max="9737" width="8.7109375" customWidth="1"/>
    <col min="9738" max="9738" width="13.7109375" customWidth="1"/>
    <col min="9739" max="9739" width="9.5703125" customWidth="1"/>
    <col min="9740" max="9740" width="11" customWidth="1"/>
    <col min="9741" max="9741" width="6.7109375" customWidth="1"/>
    <col min="9742" max="9744" width="10.7109375" customWidth="1"/>
    <col min="9745" max="9745" width="9.7109375" customWidth="1"/>
    <col min="9746" max="9747" width="8.7109375" customWidth="1"/>
    <col min="9748" max="9748" width="11.85546875" customWidth="1"/>
    <col min="9749" max="9749" width="11.5703125" customWidth="1"/>
    <col min="9750" max="9750" width="10.5703125" customWidth="1"/>
    <col min="9751" max="9751" width="9" bestFit="1" customWidth="1"/>
    <col min="9752" max="9752" width="10.140625" customWidth="1"/>
    <col min="9753" max="9753" width="7.7109375" bestFit="1" customWidth="1"/>
    <col min="9986" max="9986" width="18" customWidth="1"/>
    <col min="9987" max="9992" width="7.140625" customWidth="1"/>
    <col min="9993" max="9993" width="8.7109375" customWidth="1"/>
    <col min="9994" max="9994" width="13.7109375" customWidth="1"/>
    <col min="9995" max="9995" width="9.5703125" customWidth="1"/>
    <col min="9996" max="9996" width="11" customWidth="1"/>
    <col min="9997" max="9997" width="6.7109375" customWidth="1"/>
    <col min="9998" max="10000" width="10.7109375" customWidth="1"/>
    <col min="10001" max="10001" width="9.7109375" customWidth="1"/>
    <col min="10002" max="10003" width="8.7109375" customWidth="1"/>
    <col min="10004" max="10004" width="11.85546875" customWidth="1"/>
    <col min="10005" max="10005" width="11.5703125" customWidth="1"/>
    <col min="10006" max="10006" width="10.5703125" customWidth="1"/>
    <col min="10007" max="10007" width="9" bestFit="1" customWidth="1"/>
    <col min="10008" max="10008" width="10.140625" customWidth="1"/>
    <col min="10009" max="10009" width="7.7109375" bestFit="1" customWidth="1"/>
    <col min="10242" max="10242" width="18" customWidth="1"/>
    <col min="10243" max="10248" width="7.140625" customWidth="1"/>
    <col min="10249" max="10249" width="8.7109375" customWidth="1"/>
    <col min="10250" max="10250" width="13.7109375" customWidth="1"/>
    <col min="10251" max="10251" width="9.5703125" customWidth="1"/>
    <col min="10252" max="10252" width="11" customWidth="1"/>
    <col min="10253" max="10253" width="6.7109375" customWidth="1"/>
    <col min="10254" max="10256" width="10.7109375" customWidth="1"/>
    <col min="10257" max="10257" width="9.7109375" customWidth="1"/>
    <col min="10258" max="10259" width="8.7109375" customWidth="1"/>
    <col min="10260" max="10260" width="11.85546875" customWidth="1"/>
    <col min="10261" max="10261" width="11.5703125" customWidth="1"/>
    <col min="10262" max="10262" width="10.5703125" customWidth="1"/>
    <col min="10263" max="10263" width="9" bestFit="1" customWidth="1"/>
    <col min="10264" max="10264" width="10.140625" customWidth="1"/>
    <col min="10265" max="10265" width="7.7109375" bestFit="1" customWidth="1"/>
    <col min="10498" max="10498" width="18" customWidth="1"/>
    <col min="10499" max="10504" width="7.140625" customWidth="1"/>
    <col min="10505" max="10505" width="8.7109375" customWidth="1"/>
    <col min="10506" max="10506" width="13.7109375" customWidth="1"/>
    <col min="10507" max="10507" width="9.5703125" customWidth="1"/>
    <col min="10508" max="10508" width="11" customWidth="1"/>
    <col min="10509" max="10509" width="6.7109375" customWidth="1"/>
    <col min="10510" max="10512" width="10.7109375" customWidth="1"/>
    <col min="10513" max="10513" width="9.7109375" customWidth="1"/>
    <col min="10514" max="10515" width="8.7109375" customWidth="1"/>
    <col min="10516" max="10516" width="11.85546875" customWidth="1"/>
    <col min="10517" max="10517" width="11.5703125" customWidth="1"/>
    <col min="10518" max="10518" width="10.5703125" customWidth="1"/>
    <col min="10519" max="10519" width="9" bestFit="1" customWidth="1"/>
    <col min="10520" max="10520" width="10.140625" customWidth="1"/>
    <col min="10521" max="10521" width="7.7109375" bestFit="1" customWidth="1"/>
    <col min="10754" max="10754" width="18" customWidth="1"/>
    <col min="10755" max="10760" width="7.140625" customWidth="1"/>
    <col min="10761" max="10761" width="8.7109375" customWidth="1"/>
    <col min="10762" max="10762" width="13.7109375" customWidth="1"/>
    <col min="10763" max="10763" width="9.5703125" customWidth="1"/>
    <col min="10764" max="10764" width="11" customWidth="1"/>
    <col min="10765" max="10765" width="6.7109375" customWidth="1"/>
    <col min="10766" max="10768" width="10.7109375" customWidth="1"/>
    <col min="10769" max="10769" width="9.7109375" customWidth="1"/>
    <col min="10770" max="10771" width="8.7109375" customWidth="1"/>
    <col min="10772" max="10772" width="11.85546875" customWidth="1"/>
    <col min="10773" max="10773" width="11.5703125" customWidth="1"/>
    <col min="10774" max="10774" width="10.5703125" customWidth="1"/>
    <col min="10775" max="10775" width="9" bestFit="1" customWidth="1"/>
    <col min="10776" max="10776" width="10.140625" customWidth="1"/>
    <col min="10777" max="10777" width="7.7109375" bestFit="1" customWidth="1"/>
    <col min="11010" max="11010" width="18" customWidth="1"/>
    <col min="11011" max="11016" width="7.140625" customWidth="1"/>
    <col min="11017" max="11017" width="8.7109375" customWidth="1"/>
    <col min="11018" max="11018" width="13.7109375" customWidth="1"/>
    <col min="11019" max="11019" width="9.5703125" customWidth="1"/>
    <col min="11020" max="11020" width="11" customWidth="1"/>
    <col min="11021" max="11021" width="6.7109375" customWidth="1"/>
    <col min="11022" max="11024" width="10.7109375" customWidth="1"/>
    <col min="11025" max="11025" width="9.7109375" customWidth="1"/>
    <col min="11026" max="11027" width="8.7109375" customWidth="1"/>
    <col min="11028" max="11028" width="11.85546875" customWidth="1"/>
    <col min="11029" max="11029" width="11.5703125" customWidth="1"/>
    <col min="11030" max="11030" width="10.5703125" customWidth="1"/>
    <col min="11031" max="11031" width="9" bestFit="1" customWidth="1"/>
    <col min="11032" max="11032" width="10.140625" customWidth="1"/>
    <col min="11033" max="11033" width="7.7109375" bestFit="1" customWidth="1"/>
    <col min="11266" max="11266" width="18" customWidth="1"/>
    <col min="11267" max="11272" width="7.140625" customWidth="1"/>
    <col min="11273" max="11273" width="8.7109375" customWidth="1"/>
    <col min="11274" max="11274" width="13.7109375" customWidth="1"/>
    <col min="11275" max="11275" width="9.5703125" customWidth="1"/>
    <col min="11276" max="11276" width="11" customWidth="1"/>
    <col min="11277" max="11277" width="6.7109375" customWidth="1"/>
    <col min="11278" max="11280" width="10.7109375" customWidth="1"/>
    <col min="11281" max="11281" width="9.7109375" customWidth="1"/>
    <col min="11282" max="11283" width="8.7109375" customWidth="1"/>
    <col min="11284" max="11284" width="11.85546875" customWidth="1"/>
    <col min="11285" max="11285" width="11.5703125" customWidth="1"/>
    <col min="11286" max="11286" width="10.5703125" customWidth="1"/>
    <col min="11287" max="11287" width="9" bestFit="1" customWidth="1"/>
    <col min="11288" max="11288" width="10.140625" customWidth="1"/>
    <col min="11289" max="11289" width="7.7109375" bestFit="1" customWidth="1"/>
    <col min="11522" max="11522" width="18" customWidth="1"/>
    <col min="11523" max="11528" width="7.140625" customWidth="1"/>
    <col min="11529" max="11529" width="8.7109375" customWidth="1"/>
    <col min="11530" max="11530" width="13.7109375" customWidth="1"/>
    <col min="11531" max="11531" width="9.5703125" customWidth="1"/>
    <col min="11532" max="11532" width="11" customWidth="1"/>
    <col min="11533" max="11533" width="6.7109375" customWidth="1"/>
    <col min="11534" max="11536" width="10.7109375" customWidth="1"/>
    <col min="11537" max="11537" width="9.7109375" customWidth="1"/>
    <col min="11538" max="11539" width="8.7109375" customWidth="1"/>
    <col min="11540" max="11540" width="11.85546875" customWidth="1"/>
    <col min="11541" max="11541" width="11.5703125" customWidth="1"/>
    <col min="11542" max="11542" width="10.5703125" customWidth="1"/>
    <col min="11543" max="11543" width="9" bestFit="1" customWidth="1"/>
    <col min="11544" max="11544" width="10.140625" customWidth="1"/>
    <col min="11545" max="11545" width="7.7109375" bestFit="1" customWidth="1"/>
    <col min="11778" max="11778" width="18" customWidth="1"/>
    <col min="11779" max="11784" width="7.140625" customWidth="1"/>
    <col min="11785" max="11785" width="8.7109375" customWidth="1"/>
    <col min="11786" max="11786" width="13.7109375" customWidth="1"/>
    <col min="11787" max="11787" width="9.5703125" customWidth="1"/>
    <col min="11788" max="11788" width="11" customWidth="1"/>
    <col min="11789" max="11789" width="6.7109375" customWidth="1"/>
    <col min="11790" max="11792" width="10.7109375" customWidth="1"/>
    <col min="11793" max="11793" width="9.7109375" customWidth="1"/>
    <col min="11794" max="11795" width="8.7109375" customWidth="1"/>
    <col min="11796" max="11796" width="11.85546875" customWidth="1"/>
    <col min="11797" max="11797" width="11.5703125" customWidth="1"/>
    <col min="11798" max="11798" width="10.5703125" customWidth="1"/>
    <col min="11799" max="11799" width="9" bestFit="1" customWidth="1"/>
    <col min="11800" max="11800" width="10.140625" customWidth="1"/>
    <col min="11801" max="11801" width="7.7109375" bestFit="1" customWidth="1"/>
    <col min="12034" max="12034" width="18" customWidth="1"/>
    <col min="12035" max="12040" width="7.140625" customWidth="1"/>
    <col min="12041" max="12041" width="8.7109375" customWidth="1"/>
    <col min="12042" max="12042" width="13.7109375" customWidth="1"/>
    <col min="12043" max="12043" width="9.5703125" customWidth="1"/>
    <col min="12044" max="12044" width="11" customWidth="1"/>
    <col min="12045" max="12045" width="6.7109375" customWidth="1"/>
    <col min="12046" max="12048" width="10.7109375" customWidth="1"/>
    <col min="12049" max="12049" width="9.7109375" customWidth="1"/>
    <col min="12050" max="12051" width="8.7109375" customWidth="1"/>
    <col min="12052" max="12052" width="11.85546875" customWidth="1"/>
    <col min="12053" max="12053" width="11.5703125" customWidth="1"/>
    <col min="12054" max="12054" width="10.5703125" customWidth="1"/>
    <col min="12055" max="12055" width="9" bestFit="1" customWidth="1"/>
    <col min="12056" max="12056" width="10.140625" customWidth="1"/>
    <col min="12057" max="12057" width="7.7109375" bestFit="1" customWidth="1"/>
    <col min="12290" max="12290" width="18" customWidth="1"/>
    <col min="12291" max="12296" width="7.140625" customWidth="1"/>
    <col min="12297" max="12297" width="8.7109375" customWidth="1"/>
    <col min="12298" max="12298" width="13.7109375" customWidth="1"/>
    <col min="12299" max="12299" width="9.5703125" customWidth="1"/>
    <col min="12300" max="12300" width="11" customWidth="1"/>
    <col min="12301" max="12301" width="6.7109375" customWidth="1"/>
    <col min="12302" max="12304" width="10.7109375" customWidth="1"/>
    <col min="12305" max="12305" width="9.7109375" customWidth="1"/>
    <col min="12306" max="12307" width="8.7109375" customWidth="1"/>
    <col min="12308" max="12308" width="11.85546875" customWidth="1"/>
    <col min="12309" max="12309" width="11.5703125" customWidth="1"/>
    <col min="12310" max="12310" width="10.5703125" customWidth="1"/>
    <col min="12311" max="12311" width="9" bestFit="1" customWidth="1"/>
    <col min="12312" max="12312" width="10.140625" customWidth="1"/>
    <col min="12313" max="12313" width="7.7109375" bestFit="1" customWidth="1"/>
    <col min="12546" max="12546" width="18" customWidth="1"/>
    <col min="12547" max="12552" width="7.140625" customWidth="1"/>
    <col min="12553" max="12553" width="8.7109375" customWidth="1"/>
    <col min="12554" max="12554" width="13.7109375" customWidth="1"/>
    <col min="12555" max="12555" width="9.5703125" customWidth="1"/>
    <col min="12556" max="12556" width="11" customWidth="1"/>
    <col min="12557" max="12557" width="6.7109375" customWidth="1"/>
    <col min="12558" max="12560" width="10.7109375" customWidth="1"/>
    <col min="12561" max="12561" width="9.7109375" customWidth="1"/>
    <col min="12562" max="12563" width="8.7109375" customWidth="1"/>
    <col min="12564" max="12564" width="11.85546875" customWidth="1"/>
    <col min="12565" max="12565" width="11.5703125" customWidth="1"/>
    <col min="12566" max="12566" width="10.5703125" customWidth="1"/>
    <col min="12567" max="12567" width="9" bestFit="1" customWidth="1"/>
    <col min="12568" max="12568" width="10.140625" customWidth="1"/>
    <col min="12569" max="12569" width="7.7109375" bestFit="1" customWidth="1"/>
    <col min="12802" max="12802" width="18" customWidth="1"/>
    <col min="12803" max="12808" width="7.140625" customWidth="1"/>
    <col min="12809" max="12809" width="8.7109375" customWidth="1"/>
    <col min="12810" max="12810" width="13.7109375" customWidth="1"/>
    <col min="12811" max="12811" width="9.5703125" customWidth="1"/>
    <col min="12812" max="12812" width="11" customWidth="1"/>
    <col min="12813" max="12813" width="6.7109375" customWidth="1"/>
    <col min="12814" max="12816" width="10.7109375" customWidth="1"/>
    <col min="12817" max="12817" width="9.7109375" customWidth="1"/>
    <col min="12818" max="12819" width="8.7109375" customWidth="1"/>
    <col min="12820" max="12820" width="11.85546875" customWidth="1"/>
    <col min="12821" max="12821" width="11.5703125" customWidth="1"/>
    <col min="12822" max="12822" width="10.5703125" customWidth="1"/>
    <col min="12823" max="12823" width="9" bestFit="1" customWidth="1"/>
    <col min="12824" max="12824" width="10.140625" customWidth="1"/>
    <col min="12825" max="12825" width="7.7109375" bestFit="1" customWidth="1"/>
    <col min="13058" max="13058" width="18" customWidth="1"/>
    <col min="13059" max="13064" width="7.140625" customWidth="1"/>
    <col min="13065" max="13065" width="8.7109375" customWidth="1"/>
    <col min="13066" max="13066" width="13.7109375" customWidth="1"/>
    <col min="13067" max="13067" width="9.5703125" customWidth="1"/>
    <col min="13068" max="13068" width="11" customWidth="1"/>
    <col min="13069" max="13069" width="6.7109375" customWidth="1"/>
    <col min="13070" max="13072" width="10.7109375" customWidth="1"/>
    <col min="13073" max="13073" width="9.7109375" customWidth="1"/>
    <col min="13074" max="13075" width="8.7109375" customWidth="1"/>
    <col min="13076" max="13076" width="11.85546875" customWidth="1"/>
    <col min="13077" max="13077" width="11.5703125" customWidth="1"/>
    <col min="13078" max="13078" width="10.5703125" customWidth="1"/>
    <col min="13079" max="13079" width="9" bestFit="1" customWidth="1"/>
    <col min="13080" max="13080" width="10.140625" customWidth="1"/>
    <col min="13081" max="13081" width="7.7109375" bestFit="1" customWidth="1"/>
    <col min="13314" max="13314" width="18" customWidth="1"/>
    <col min="13315" max="13320" width="7.140625" customWidth="1"/>
    <col min="13321" max="13321" width="8.7109375" customWidth="1"/>
    <col min="13322" max="13322" width="13.7109375" customWidth="1"/>
    <col min="13323" max="13323" width="9.5703125" customWidth="1"/>
    <col min="13324" max="13324" width="11" customWidth="1"/>
    <col min="13325" max="13325" width="6.7109375" customWidth="1"/>
    <col min="13326" max="13328" width="10.7109375" customWidth="1"/>
    <col min="13329" max="13329" width="9.7109375" customWidth="1"/>
    <col min="13330" max="13331" width="8.7109375" customWidth="1"/>
    <col min="13332" max="13332" width="11.85546875" customWidth="1"/>
    <col min="13333" max="13333" width="11.5703125" customWidth="1"/>
    <col min="13334" max="13334" width="10.5703125" customWidth="1"/>
    <col min="13335" max="13335" width="9" bestFit="1" customWidth="1"/>
    <col min="13336" max="13336" width="10.140625" customWidth="1"/>
    <col min="13337" max="13337" width="7.7109375" bestFit="1" customWidth="1"/>
    <col min="13570" max="13570" width="18" customWidth="1"/>
    <col min="13571" max="13576" width="7.140625" customWidth="1"/>
    <col min="13577" max="13577" width="8.7109375" customWidth="1"/>
    <col min="13578" max="13578" width="13.7109375" customWidth="1"/>
    <col min="13579" max="13579" width="9.5703125" customWidth="1"/>
    <col min="13580" max="13580" width="11" customWidth="1"/>
    <col min="13581" max="13581" width="6.7109375" customWidth="1"/>
    <col min="13582" max="13584" width="10.7109375" customWidth="1"/>
    <col min="13585" max="13585" width="9.7109375" customWidth="1"/>
    <col min="13586" max="13587" width="8.7109375" customWidth="1"/>
    <col min="13588" max="13588" width="11.85546875" customWidth="1"/>
    <col min="13589" max="13589" width="11.5703125" customWidth="1"/>
    <col min="13590" max="13590" width="10.5703125" customWidth="1"/>
    <col min="13591" max="13591" width="9" bestFit="1" customWidth="1"/>
    <col min="13592" max="13592" width="10.140625" customWidth="1"/>
    <col min="13593" max="13593" width="7.7109375" bestFit="1" customWidth="1"/>
    <col min="13826" max="13826" width="18" customWidth="1"/>
    <col min="13827" max="13832" width="7.140625" customWidth="1"/>
    <col min="13833" max="13833" width="8.7109375" customWidth="1"/>
    <col min="13834" max="13834" width="13.7109375" customWidth="1"/>
    <col min="13835" max="13835" width="9.5703125" customWidth="1"/>
    <col min="13836" max="13836" width="11" customWidth="1"/>
    <col min="13837" max="13837" width="6.7109375" customWidth="1"/>
    <col min="13838" max="13840" width="10.7109375" customWidth="1"/>
    <col min="13841" max="13841" width="9.7109375" customWidth="1"/>
    <col min="13842" max="13843" width="8.7109375" customWidth="1"/>
    <col min="13844" max="13844" width="11.85546875" customWidth="1"/>
    <col min="13845" max="13845" width="11.5703125" customWidth="1"/>
    <col min="13846" max="13846" width="10.5703125" customWidth="1"/>
    <col min="13847" max="13847" width="9" bestFit="1" customWidth="1"/>
    <col min="13848" max="13848" width="10.140625" customWidth="1"/>
    <col min="13849" max="13849" width="7.7109375" bestFit="1" customWidth="1"/>
    <col min="14082" max="14082" width="18" customWidth="1"/>
    <col min="14083" max="14088" width="7.140625" customWidth="1"/>
    <col min="14089" max="14089" width="8.7109375" customWidth="1"/>
    <col min="14090" max="14090" width="13.7109375" customWidth="1"/>
    <col min="14091" max="14091" width="9.5703125" customWidth="1"/>
    <col min="14092" max="14092" width="11" customWidth="1"/>
    <col min="14093" max="14093" width="6.7109375" customWidth="1"/>
    <col min="14094" max="14096" width="10.7109375" customWidth="1"/>
    <col min="14097" max="14097" width="9.7109375" customWidth="1"/>
    <col min="14098" max="14099" width="8.7109375" customWidth="1"/>
    <col min="14100" max="14100" width="11.85546875" customWidth="1"/>
    <col min="14101" max="14101" width="11.5703125" customWidth="1"/>
    <col min="14102" max="14102" width="10.5703125" customWidth="1"/>
    <col min="14103" max="14103" width="9" bestFit="1" customWidth="1"/>
    <col min="14104" max="14104" width="10.140625" customWidth="1"/>
    <col min="14105" max="14105" width="7.7109375" bestFit="1" customWidth="1"/>
    <col min="14338" max="14338" width="18" customWidth="1"/>
    <col min="14339" max="14344" width="7.140625" customWidth="1"/>
    <col min="14345" max="14345" width="8.7109375" customWidth="1"/>
    <col min="14346" max="14346" width="13.7109375" customWidth="1"/>
    <col min="14347" max="14347" width="9.5703125" customWidth="1"/>
    <col min="14348" max="14348" width="11" customWidth="1"/>
    <col min="14349" max="14349" width="6.7109375" customWidth="1"/>
    <col min="14350" max="14352" width="10.7109375" customWidth="1"/>
    <col min="14353" max="14353" width="9.7109375" customWidth="1"/>
    <col min="14354" max="14355" width="8.7109375" customWidth="1"/>
    <col min="14356" max="14356" width="11.85546875" customWidth="1"/>
    <col min="14357" max="14357" width="11.5703125" customWidth="1"/>
    <col min="14358" max="14358" width="10.5703125" customWidth="1"/>
    <col min="14359" max="14359" width="9" bestFit="1" customWidth="1"/>
    <col min="14360" max="14360" width="10.140625" customWidth="1"/>
    <col min="14361" max="14361" width="7.7109375" bestFit="1" customWidth="1"/>
    <col min="14594" max="14594" width="18" customWidth="1"/>
    <col min="14595" max="14600" width="7.140625" customWidth="1"/>
    <col min="14601" max="14601" width="8.7109375" customWidth="1"/>
    <col min="14602" max="14602" width="13.7109375" customWidth="1"/>
    <col min="14603" max="14603" width="9.5703125" customWidth="1"/>
    <col min="14604" max="14604" width="11" customWidth="1"/>
    <col min="14605" max="14605" width="6.7109375" customWidth="1"/>
    <col min="14606" max="14608" width="10.7109375" customWidth="1"/>
    <col min="14609" max="14609" width="9.7109375" customWidth="1"/>
    <col min="14610" max="14611" width="8.7109375" customWidth="1"/>
    <col min="14612" max="14612" width="11.85546875" customWidth="1"/>
    <col min="14613" max="14613" width="11.5703125" customWidth="1"/>
    <col min="14614" max="14614" width="10.5703125" customWidth="1"/>
    <col min="14615" max="14615" width="9" bestFit="1" customWidth="1"/>
    <col min="14616" max="14616" width="10.140625" customWidth="1"/>
    <col min="14617" max="14617" width="7.7109375" bestFit="1" customWidth="1"/>
    <col min="14850" max="14850" width="18" customWidth="1"/>
    <col min="14851" max="14856" width="7.140625" customWidth="1"/>
    <col min="14857" max="14857" width="8.7109375" customWidth="1"/>
    <col min="14858" max="14858" width="13.7109375" customWidth="1"/>
    <col min="14859" max="14859" width="9.5703125" customWidth="1"/>
    <col min="14860" max="14860" width="11" customWidth="1"/>
    <col min="14861" max="14861" width="6.7109375" customWidth="1"/>
    <col min="14862" max="14864" width="10.7109375" customWidth="1"/>
    <col min="14865" max="14865" width="9.7109375" customWidth="1"/>
    <col min="14866" max="14867" width="8.7109375" customWidth="1"/>
    <col min="14868" max="14868" width="11.85546875" customWidth="1"/>
    <col min="14869" max="14869" width="11.5703125" customWidth="1"/>
    <col min="14870" max="14870" width="10.5703125" customWidth="1"/>
    <col min="14871" max="14871" width="9" bestFit="1" customWidth="1"/>
    <col min="14872" max="14872" width="10.140625" customWidth="1"/>
    <col min="14873" max="14873" width="7.7109375" bestFit="1" customWidth="1"/>
    <col min="15106" max="15106" width="18" customWidth="1"/>
    <col min="15107" max="15112" width="7.140625" customWidth="1"/>
    <col min="15113" max="15113" width="8.7109375" customWidth="1"/>
    <col min="15114" max="15114" width="13.7109375" customWidth="1"/>
    <col min="15115" max="15115" width="9.5703125" customWidth="1"/>
    <col min="15116" max="15116" width="11" customWidth="1"/>
    <col min="15117" max="15117" width="6.7109375" customWidth="1"/>
    <col min="15118" max="15120" width="10.7109375" customWidth="1"/>
    <col min="15121" max="15121" width="9.7109375" customWidth="1"/>
    <col min="15122" max="15123" width="8.7109375" customWidth="1"/>
    <col min="15124" max="15124" width="11.85546875" customWidth="1"/>
    <col min="15125" max="15125" width="11.5703125" customWidth="1"/>
    <col min="15126" max="15126" width="10.5703125" customWidth="1"/>
    <col min="15127" max="15127" width="9" bestFit="1" customWidth="1"/>
    <col min="15128" max="15128" width="10.140625" customWidth="1"/>
    <col min="15129" max="15129" width="7.7109375" bestFit="1" customWidth="1"/>
    <col min="15362" max="15362" width="18" customWidth="1"/>
    <col min="15363" max="15368" width="7.140625" customWidth="1"/>
    <col min="15369" max="15369" width="8.7109375" customWidth="1"/>
    <col min="15370" max="15370" width="13.7109375" customWidth="1"/>
    <col min="15371" max="15371" width="9.5703125" customWidth="1"/>
    <col min="15372" max="15372" width="11" customWidth="1"/>
    <col min="15373" max="15373" width="6.7109375" customWidth="1"/>
    <col min="15374" max="15376" width="10.7109375" customWidth="1"/>
    <col min="15377" max="15377" width="9.7109375" customWidth="1"/>
    <col min="15378" max="15379" width="8.7109375" customWidth="1"/>
    <col min="15380" max="15380" width="11.85546875" customWidth="1"/>
    <col min="15381" max="15381" width="11.5703125" customWidth="1"/>
    <col min="15382" max="15382" width="10.5703125" customWidth="1"/>
    <col min="15383" max="15383" width="9" bestFit="1" customWidth="1"/>
    <col min="15384" max="15384" width="10.140625" customWidth="1"/>
    <col min="15385" max="15385" width="7.7109375" bestFit="1" customWidth="1"/>
    <col min="15618" max="15618" width="18" customWidth="1"/>
    <col min="15619" max="15624" width="7.140625" customWidth="1"/>
    <col min="15625" max="15625" width="8.7109375" customWidth="1"/>
    <col min="15626" max="15626" width="13.7109375" customWidth="1"/>
    <col min="15627" max="15627" width="9.5703125" customWidth="1"/>
    <col min="15628" max="15628" width="11" customWidth="1"/>
    <col min="15629" max="15629" width="6.7109375" customWidth="1"/>
    <col min="15630" max="15632" width="10.7109375" customWidth="1"/>
    <col min="15633" max="15633" width="9.7109375" customWidth="1"/>
    <col min="15634" max="15635" width="8.7109375" customWidth="1"/>
    <col min="15636" max="15636" width="11.85546875" customWidth="1"/>
    <col min="15637" max="15637" width="11.5703125" customWidth="1"/>
    <col min="15638" max="15638" width="10.5703125" customWidth="1"/>
    <col min="15639" max="15639" width="9" bestFit="1" customWidth="1"/>
    <col min="15640" max="15640" width="10.140625" customWidth="1"/>
    <col min="15641" max="15641" width="7.7109375" bestFit="1" customWidth="1"/>
    <col min="15874" max="15874" width="18" customWidth="1"/>
    <col min="15875" max="15880" width="7.140625" customWidth="1"/>
    <col min="15881" max="15881" width="8.7109375" customWidth="1"/>
    <col min="15882" max="15882" width="13.7109375" customWidth="1"/>
    <col min="15883" max="15883" width="9.5703125" customWidth="1"/>
    <col min="15884" max="15884" width="11" customWidth="1"/>
    <col min="15885" max="15885" width="6.7109375" customWidth="1"/>
    <col min="15886" max="15888" width="10.7109375" customWidth="1"/>
    <col min="15889" max="15889" width="9.7109375" customWidth="1"/>
    <col min="15890" max="15891" width="8.7109375" customWidth="1"/>
    <col min="15892" max="15892" width="11.85546875" customWidth="1"/>
    <col min="15893" max="15893" width="11.5703125" customWidth="1"/>
    <col min="15894" max="15894" width="10.5703125" customWidth="1"/>
    <col min="15895" max="15895" width="9" bestFit="1" customWidth="1"/>
    <col min="15896" max="15896" width="10.140625" customWidth="1"/>
    <col min="15897" max="15897" width="7.7109375" bestFit="1" customWidth="1"/>
    <col min="16130" max="16130" width="18" customWidth="1"/>
    <col min="16131" max="16136" width="7.140625" customWidth="1"/>
    <col min="16137" max="16137" width="8.7109375" customWidth="1"/>
    <col min="16138" max="16138" width="13.7109375" customWidth="1"/>
    <col min="16139" max="16139" width="9.5703125" customWidth="1"/>
    <col min="16140" max="16140" width="11" customWidth="1"/>
    <col min="16141" max="16141" width="6.7109375" customWidth="1"/>
    <col min="16142" max="16144" width="10.7109375" customWidth="1"/>
    <col min="16145" max="16145" width="9.7109375" customWidth="1"/>
    <col min="16146" max="16147" width="8.7109375" customWidth="1"/>
    <col min="16148" max="16148" width="11.85546875" customWidth="1"/>
    <col min="16149" max="16149" width="11.5703125" customWidth="1"/>
    <col min="16150" max="16150" width="10.5703125" customWidth="1"/>
    <col min="16151" max="16151" width="9" bestFit="1" customWidth="1"/>
    <col min="16152" max="16152" width="10.140625" customWidth="1"/>
    <col min="16153" max="16153" width="7.7109375" bestFit="1" customWidth="1"/>
  </cols>
  <sheetData>
    <row r="3" spans="2:25" x14ac:dyDescent="0.25">
      <c r="B3" s="130" t="s">
        <v>21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</row>
    <row r="4" spans="2:25" s="52" customFormat="1" x14ac:dyDescent="0.25">
      <c r="C4" s="53"/>
      <c r="L4" s="53"/>
      <c r="M4" s="131"/>
      <c r="N4" s="131"/>
      <c r="P4" s="53"/>
      <c r="R4" s="132"/>
      <c r="S4" s="132"/>
      <c r="U4" s="38"/>
      <c r="V4" s="16"/>
      <c r="W4" s="132"/>
      <c r="X4" s="133"/>
    </row>
    <row r="5" spans="2:25" ht="15.75" thickBot="1" x14ac:dyDescent="0.3">
      <c r="C5" s="12"/>
    </row>
    <row r="6" spans="2:25" ht="15.75" thickBot="1" x14ac:dyDescent="0.3">
      <c r="H6" s="122" t="s">
        <v>22</v>
      </c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4"/>
    </row>
    <row r="7" spans="2:25" ht="15.75" thickBot="1" x14ac:dyDescent="0.3">
      <c r="C7" s="122"/>
      <c r="D7" s="123"/>
      <c r="E7" s="123"/>
      <c r="F7" s="123"/>
      <c r="G7" s="124"/>
      <c r="H7" s="125"/>
      <c r="I7" s="126"/>
      <c r="J7" s="127"/>
      <c r="K7" s="128" t="s">
        <v>23</v>
      </c>
      <c r="L7" s="129"/>
      <c r="M7" s="125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7"/>
    </row>
    <row r="8" spans="2:25" ht="18" customHeight="1" thickBot="1" x14ac:dyDescent="0.3">
      <c r="B8" s="10" t="s">
        <v>24</v>
      </c>
      <c r="C8" s="42" t="s">
        <v>2</v>
      </c>
      <c r="D8" s="42" t="s">
        <v>2</v>
      </c>
      <c r="E8" s="42" t="s">
        <v>2</v>
      </c>
      <c r="F8" s="42" t="s">
        <v>2</v>
      </c>
      <c r="G8" s="17" t="s">
        <v>25</v>
      </c>
      <c r="H8" s="115" t="s">
        <v>26</v>
      </c>
      <c r="I8" s="116"/>
      <c r="J8" s="117"/>
      <c r="K8" s="118">
        <v>0.1</v>
      </c>
      <c r="L8" s="119"/>
      <c r="M8" s="115" t="s">
        <v>27</v>
      </c>
      <c r="N8" s="116"/>
      <c r="O8" s="116"/>
      <c r="P8" s="116"/>
      <c r="Q8" s="117"/>
      <c r="R8" s="120" t="s">
        <v>28</v>
      </c>
      <c r="S8" s="121"/>
      <c r="T8" s="115" t="s">
        <v>29</v>
      </c>
      <c r="U8" s="116"/>
      <c r="V8" s="116"/>
      <c r="W8" s="116"/>
      <c r="X8" s="116"/>
      <c r="Y8" s="117"/>
    </row>
    <row r="9" spans="2:25" s="33" customFormat="1" ht="33" customHeight="1" thickBot="1" x14ac:dyDescent="0.3">
      <c r="B9" s="43" t="s">
        <v>30</v>
      </c>
      <c r="C9" s="44" t="s">
        <v>31</v>
      </c>
      <c r="D9" s="44" t="s">
        <v>32</v>
      </c>
      <c r="E9" s="44" t="s">
        <v>33</v>
      </c>
      <c r="F9" s="44" t="s">
        <v>34</v>
      </c>
      <c r="G9" s="45" t="s">
        <v>35</v>
      </c>
      <c r="H9" s="46" t="s">
        <v>36</v>
      </c>
      <c r="I9" s="46" t="s">
        <v>37</v>
      </c>
      <c r="J9" s="46" t="s">
        <v>38</v>
      </c>
      <c r="K9" s="46" t="s">
        <v>39</v>
      </c>
      <c r="L9" s="46" t="s">
        <v>40</v>
      </c>
      <c r="M9" s="46" t="s">
        <v>36</v>
      </c>
      <c r="N9" s="44" t="s">
        <v>41</v>
      </c>
      <c r="O9" s="44" t="s">
        <v>42</v>
      </c>
      <c r="P9" s="44" t="s">
        <v>43</v>
      </c>
      <c r="Q9" s="46" t="s">
        <v>44</v>
      </c>
      <c r="R9" s="44" t="s">
        <v>45</v>
      </c>
      <c r="S9" s="44" t="s">
        <v>46</v>
      </c>
      <c r="T9" s="46" t="s">
        <v>47</v>
      </c>
      <c r="U9" s="44" t="s">
        <v>48</v>
      </c>
      <c r="V9" s="44" t="s">
        <v>49</v>
      </c>
      <c r="W9" s="44" t="s">
        <v>50</v>
      </c>
      <c r="X9" s="44" t="s">
        <v>51</v>
      </c>
      <c r="Y9" s="46" t="s">
        <v>52</v>
      </c>
    </row>
    <row r="10" spans="2:25" x14ac:dyDescent="0.25">
      <c r="B10" s="19" t="s">
        <v>53</v>
      </c>
      <c r="C10" s="47" t="s">
        <v>2</v>
      </c>
      <c r="D10" s="47" t="s">
        <v>2</v>
      </c>
      <c r="E10" s="47" t="s">
        <v>2</v>
      </c>
      <c r="F10" s="47" t="s">
        <v>2</v>
      </c>
      <c r="G10" s="48" t="s">
        <v>2</v>
      </c>
      <c r="H10" s="49" t="s">
        <v>2</v>
      </c>
      <c r="I10" s="49" t="s">
        <v>2</v>
      </c>
      <c r="J10" s="49" t="s">
        <v>2</v>
      </c>
      <c r="K10" s="49" t="s">
        <v>2</v>
      </c>
      <c r="L10" s="49" t="s">
        <v>2</v>
      </c>
      <c r="M10" s="49" t="s">
        <v>2</v>
      </c>
      <c r="N10" s="49" t="s">
        <v>2</v>
      </c>
      <c r="O10" s="49" t="s">
        <v>2</v>
      </c>
      <c r="P10" s="49" t="s">
        <v>2</v>
      </c>
      <c r="Q10" s="49" t="s">
        <v>2</v>
      </c>
      <c r="R10" s="50" t="s">
        <v>2</v>
      </c>
      <c r="S10" s="50" t="s">
        <v>2</v>
      </c>
      <c r="T10" s="47" t="s">
        <v>2</v>
      </c>
      <c r="U10" s="48" t="s">
        <v>2</v>
      </c>
      <c r="V10" s="48" t="s">
        <v>2</v>
      </c>
      <c r="W10" s="18"/>
      <c r="X10" s="48" t="s">
        <v>2</v>
      </c>
      <c r="Y10" s="11">
        <v>0</v>
      </c>
    </row>
    <row r="11" spans="2:25" x14ac:dyDescent="0.25">
      <c r="B11" s="69" t="str">
        <f>Datos_Cliente!C11</f>
        <v>2025-0482-1</v>
      </c>
      <c r="C11" s="11">
        <v>4.88</v>
      </c>
      <c r="D11" s="11">
        <v>657.22</v>
      </c>
      <c r="E11" s="11">
        <v>168.71</v>
      </c>
      <c r="F11" s="11">
        <v>82.26</v>
      </c>
      <c r="G11" s="11">
        <v>52</v>
      </c>
      <c r="H11" s="11">
        <v>1</v>
      </c>
      <c r="I11" s="11">
        <v>10</v>
      </c>
      <c r="J11" s="11">
        <v>89.5</v>
      </c>
      <c r="K11" s="11">
        <v>0.1</v>
      </c>
      <c r="L11" s="11">
        <v>1.85</v>
      </c>
      <c r="M11" s="11">
        <v>0.1</v>
      </c>
      <c r="N11" s="11">
        <v>25</v>
      </c>
      <c r="O11" s="11">
        <v>2</v>
      </c>
      <c r="P11" s="11">
        <v>100</v>
      </c>
      <c r="Q11" s="11"/>
      <c r="R11" s="51">
        <v>3.02</v>
      </c>
      <c r="S11" s="51">
        <v>0.63</v>
      </c>
      <c r="T11" s="11">
        <v>100</v>
      </c>
      <c r="U11" s="11">
        <v>20</v>
      </c>
      <c r="V11" s="11"/>
      <c r="W11" s="11"/>
      <c r="X11" s="11">
        <v>1</v>
      </c>
      <c r="Y11" s="11">
        <v>4.4000000000000004</v>
      </c>
    </row>
    <row r="12" spans="2:25" x14ac:dyDescent="0.25">
      <c r="B12" s="69" t="str">
        <f>Datos_Cliente!C12</f>
        <v>2025-0482-2</v>
      </c>
      <c r="C12" s="11">
        <v>4.8899999999999997</v>
      </c>
      <c r="D12" s="11">
        <v>563.95000000000005</v>
      </c>
      <c r="E12" s="11">
        <v>162.47999999999999</v>
      </c>
      <c r="F12" s="11">
        <v>116.87</v>
      </c>
      <c r="G12" s="11">
        <v>62</v>
      </c>
      <c r="H12" s="11">
        <v>1</v>
      </c>
      <c r="I12" s="11">
        <v>10</v>
      </c>
      <c r="J12" s="11">
        <v>90</v>
      </c>
      <c r="K12" s="11">
        <v>0.1</v>
      </c>
      <c r="L12" s="11">
        <v>1.8</v>
      </c>
      <c r="M12" s="11"/>
      <c r="N12" s="11"/>
      <c r="O12" s="11"/>
      <c r="P12" s="11"/>
      <c r="Q12" s="11"/>
      <c r="R12" s="51">
        <v>2.57</v>
      </c>
      <c r="S12" s="51">
        <v>0.55000000000000004</v>
      </c>
      <c r="T12" s="11">
        <v>100</v>
      </c>
      <c r="U12" s="11">
        <v>20</v>
      </c>
      <c r="V12" s="11"/>
      <c r="W12" s="11"/>
      <c r="X12" s="11">
        <v>1</v>
      </c>
      <c r="Y12" s="11">
        <v>4</v>
      </c>
    </row>
    <row r="13" spans="2:25" x14ac:dyDescent="0.25">
      <c r="B13" s="69" t="str">
        <f>Datos_Cliente!C13</f>
        <v>2025-0482-3</v>
      </c>
      <c r="C13" s="11">
        <v>4.8</v>
      </c>
      <c r="D13" s="11">
        <v>583.20000000000005</v>
      </c>
      <c r="E13" s="11">
        <v>168.46</v>
      </c>
      <c r="F13" s="11">
        <v>120.3</v>
      </c>
      <c r="G13" s="11">
        <v>60</v>
      </c>
      <c r="H13" s="11">
        <v>1</v>
      </c>
      <c r="I13" s="11">
        <v>10</v>
      </c>
      <c r="J13" s="11">
        <v>88.5</v>
      </c>
      <c r="K13" s="11">
        <v>0.1</v>
      </c>
      <c r="L13" s="11">
        <v>1.7</v>
      </c>
      <c r="M13" s="11"/>
      <c r="N13" s="11"/>
      <c r="O13" s="11"/>
      <c r="P13" s="11"/>
      <c r="Q13" s="11"/>
      <c r="R13" s="51">
        <v>2.63</v>
      </c>
      <c r="S13" s="51">
        <v>0.54</v>
      </c>
      <c r="T13" s="11">
        <v>100</v>
      </c>
      <c r="U13" s="11">
        <v>20</v>
      </c>
      <c r="V13" s="11"/>
      <c r="W13" s="11"/>
      <c r="X13" s="11">
        <v>1</v>
      </c>
      <c r="Y13" s="11">
        <v>4</v>
      </c>
    </row>
    <row r="14" spans="2:25" x14ac:dyDescent="0.25">
      <c r="B14" s="69" t="str">
        <f>Datos_Cliente!C14</f>
        <v>2025-0482-4</v>
      </c>
      <c r="C14" s="11">
        <v>4.24</v>
      </c>
      <c r="D14" s="11">
        <v>614.38</v>
      </c>
      <c r="E14" s="11">
        <v>158.88999999999999</v>
      </c>
      <c r="F14" s="11">
        <v>131.62</v>
      </c>
      <c r="G14" s="11">
        <v>55</v>
      </c>
      <c r="H14" s="11">
        <v>1</v>
      </c>
      <c r="I14" s="11">
        <v>10</v>
      </c>
      <c r="J14" s="11">
        <v>89</v>
      </c>
      <c r="K14" s="11">
        <v>0.1</v>
      </c>
      <c r="L14" s="11">
        <v>1.9</v>
      </c>
      <c r="M14" s="11"/>
      <c r="N14" s="11"/>
      <c r="O14" s="11"/>
      <c r="P14" s="11"/>
      <c r="Q14" s="11"/>
      <c r="R14" s="51">
        <v>3.08</v>
      </c>
      <c r="S14" s="51">
        <v>0.66</v>
      </c>
      <c r="T14" s="11">
        <v>100</v>
      </c>
      <c r="U14" s="11">
        <v>20</v>
      </c>
      <c r="V14" s="11"/>
      <c r="W14" s="11"/>
      <c r="X14" s="11">
        <v>1</v>
      </c>
      <c r="Y14" s="11">
        <v>4.0999999999999996</v>
      </c>
    </row>
    <row r="15" spans="2:25" x14ac:dyDescent="0.25">
      <c r="B15" s="69" t="str">
        <f>Datos_Cliente!C15</f>
        <v>2025-0482-5</v>
      </c>
      <c r="C15" s="11">
        <v>4.3099999999999996</v>
      </c>
      <c r="D15" s="11">
        <v>620.44000000000005</v>
      </c>
      <c r="E15" s="11">
        <v>160.88999999999999</v>
      </c>
      <c r="F15" s="11">
        <v>116.32</v>
      </c>
      <c r="G15" s="11">
        <v>57</v>
      </c>
      <c r="H15" s="11">
        <v>1</v>
      </c>
      <c r="I15" s="11">
        <v>10</v>
      </c>
      <c r="J15" s="11">
        <v>89</v>
      </c>
      <c r="K15" s="11">
        <v>0.1</v>
      </c>
      <c r="L15" s="11">
        <v>1.85</v>
      </c>
      <c r="M15" s="11"/>
      <c r="N15" s="11"/>
      <c r="O15" s="11"/>
      <c r="P15" s="11"/>
      <c r="Q15" s="11"/>
      <c r="R15" s="51">
        <v>2.4500000000000002</v>
      </c>
      <c r="S15" s="51">
        <v>0.56999999999999995</v>
      </c>
      <c r="T15" s="11">
        <v>100</v>
      </c>
      <c r="U15" s="11">
        <v>20</v>
      </c>
      <c r="V15" s="11"/>
      <c r="W15" s="11"/>
      <c r="X15" s="11">
        <v>1</v>
      </c>
      <c r="Y15" s="11">
        <v>3.8</v>
      </c>
    </row>
    <row r="16" spans="2:25" x14ac:dyDescent="0.25">
      <c r="B16" s="69" t="str">
        <f>Datos_Cliente!C16</f>
        <v>2025-0482-6</v>
      </c>
      <c r="C16" s="11">
        <v>7.65</v>
      </c>
      <c r="D16" s="11">
        <v>554.73</v>
      </c>
      <c r="E16" s="11">
        <v>125.92</v>
      </c>
      <c r="F16" s="11">
        <v>109.57</v>
      </c>
      <c r="G16" s="11">
        <v>59.5</v>
      </c>
      <c r="H16" s="11">
        <v>1</v>
      </c>
      <c r="I16" s="11">
        <v>10</v>
      </c>
      <c r="J16" s="11">
        <v>90</v>
      </c>
      <c r="K16" s="11">
        <v>0.1</v>
      </c>
      <c r="L16" s="11">
        <v>1.75</v>
      </c>
      <c r="M16" s="11"/>
      <c r="N16" s="11"/>
      <c r="O16" s="11"/>
      <c r="P16" s="11"/>
      <c r="Q16" s="11"/>
      <c r="R16" s="51">
        <v>2.39</v>
      </c>
      <c r="S16" s="51">
        <v>0.59</v>
      </c>
      <c r="T16" s="11">
        <v>100</v>
      </c>
      <c r="U16" s="11">
        <v>20</v>
      </c>
      <c r="V16" s="11"/>
      <c r="W16" s="11"/>
      <c r="X16" s="11">
        <v>1</v>
      </c>
      <c r="Y16" s="11">
        <v>3.5</v>
      </c>
    </row>
    <row r="17" spans="2:25" x14ac:dyDescent="0.25">
      <c r="B17" s="69">
        <f>Datos_Cliente!C17</f>
        <v>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51"/>
      <c r="S17" s="51"/>
      <c r="T17" s="11"/>
      <c r="U17" s="11"/>
      <c r="V17" s="11"/>
      <c r="W17" s="11"/>
      <c r="X17" s="11"/>
      <c r="Y17" s="11"/>
    </row>
    <row r="18" spans="2:25" x14ac:dyDescent="0.25">
      <c r="B18" s="69">
        <f>Datos_Cliente!C18</f>
        <v>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51"/>
      <c r="S18" s="51"/>
      <c r="T18" s="11"/>
      <c r="U18" s="11"/>
      <c r="V18" s="11"/>
      <c r="W18" s="11"/>
      <c r="X18" s="11"/>
      <c r="Y18" s="11"/>
    </row>
    <row r="19" spans="2:25" x14ac:dyDescent="0.25">
      <c r="B19" s="69">
        <f>Datos_Cliente!C19</f>
        <v>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51"/>
      <c r="S19" s="51"/>
      <c r="T19" s="11"/>
      <c r="U19" s="11"/>
      <c r="V19" s="11"/>
      <c r="W19" s="11"/>
      <c r="X19" s="11"/>
      <c r="Y19" s="11"/>
    </row>
    <row r="20" spans="2:25" x14ac:dyDescent="0.25">
      <c r="B20" s="69">
        <f>Datos_Cliente!C20</f>
        <v>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51"/>
      <c r="S20" s="51"/>
      <c r="T20" s="11"/>
      <c r="U20" s="11"/>
      <c r="V20" s="11"/>
      <c r="W20" s="11"/>
      <c r="X20" s="11"/>
      <c r="Y20" s="11"/>
    </row>
    <row r="21" spans="2:25" x14ac:dyDescent="0.25">
      <c r="B21" s="69">
        <f>Datos_Cliente!C21</f>
        <v>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51"/>
      <c r="S21" s="51"/>
      <c r="T21" s="11"/>
      <c r="U21" s="11"/>
      <c r="V21" s="11"/>
      <c r="W21" s="11"/>
      <c r="X21" s="11"/>
      <c r="Y21" s="11"/>
    </row>
    <row r="22" spans="2:25" x14ac:dyDescent="0.25">
      <c r="B22" s="69">
        <f>Datos_Cliente!C22</f>
        <v>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51"/>
      <c r="S22" s="51"/>
      <c r="T22" s="11"/>
      <c r="U22" s="11"/>
      <c r="V22" s="11"/>
      <c r="W22" s="11"/>
      <c r="X22" s="11"/>
      <c r="Y22" s="11"/>
    </row>
    <row r="23" spans="2:25" x14ac:dyDescent="0.25">
      <c r="B23" s="69">
        <f>Datos_Cliente!C23</f>
        <v>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51"/>
      <c r="S23" s="51"/>
      <c r="T23" s="11"/>
      <c r="U23" s="11"/>
      <c r="V23" s="11"/>
      <c r="W23" s="11"/>
      <c r="X23" s="11"/>
      <c r="Y23" s="11"/>
    </row>
    <row r="24" spans="2:25" x14ac:dyDescent="0.25">
      <c r="B24" s="69">
        <f>Datos_Cliente!C24</f>
        <v>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51"/>
      <c r="S24" s="51"/>
      <c r="T24" s="11"/>
      <c r="U24" s="11"/>
      <c r="V24" s="11"/>
      <c r="W24" s="11"/>
      <c r="X24" s="11"/>
      <c r="Y24" s="11"/>
    </row>
    <row r="25" spans="2:25" x14ac:dyDescent="0.25">
      <c r="B25" s="69">
        <f>Datos_Cliente!C25</f>
        <v>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51"/>
      <c r="S25" s="51"/>
      <c r="T25" s="11"/>
      <c r="U25" s="11"/>
      <c r="V25" s="11"/>
      <c r="W25" s="11"/>
      <c r="X25" s="11"/>
      <c r="Y25" s="11"/>
    </row>
    <row r="26" spans="2:25" x14ac:dyDescent="0.25">
      <c r="B26" s="69">
        <f>Datos_Cliente!C26</f>
        <v>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51"/>
      <c r="S26" s="51"/>
      <c r="T26" s="11"/>
      <c r="U26" s="11"/>
      <c r="V26" s="11"/>
      <c r="W26" s="11"/>
      <c r="X26" s="11"/>
      <c r="Y26" s="11"/>
    </row>
    <row r="27" spans="2:25" x14ac:dyDescent="0.25">
      <c r="B27" s="69">
        <f>Datos_Cliente!C27</f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51"/>
      <c r="S27" s="51"/>
      <c r="T27" s="11"/>
      <c r="U27" s="11"/>
      <c r="V27" s="11"/>
      <c r="W27" s="11"/>
      <c r="X27" s="11"/>
      <c r="Y27" s="11"/>
    </row>
    <row r="28" spans="2:25" x14ac:dyDescent="0.25">
      <c r="B28" s="69">
        <f>Datos_Cliente!C28</f>
        <v>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51"/>
      <c r="S28" s="51"/>
      <c r="T28" s="11"/>
      <c r="U28" s="11"/>
      <c r="V28" s="11"/>
      <c r="W28" s="11"/>
      <c r="X28" s="11"/>
      <c r="Y28" s="11"/>
    </row>
    <row r="29" spans="2:25" x14ac:dyDescent="0.25">
      <c r="B29" s="69">
        <f>Datos_Cliente!C29</f>
        <v>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51"/>
      <c r="S29" s="51"/>
      <c r="T29" s="11"/>
      <c r="U29" s="11"/>
      <c r="V29" s="11"/>
      <c r="W29" s="11"/>
      <c r="X29" s="11"/>
      <c r="Y29" s="11"/>
    </row>
    <row r="30" spans="2:25" x14ac:dyDescent="0.25">
      <c r="B30" s="69">
        <f>Datos_Cliente!C30</f>
        <v>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51"/>
      <c r="S30" s="51"/>
      <c r="T30" s="11"/>
      <c r="U30" s="11"/>
      <c r="V30" s="11"/>
      <c r="W30" s="11"/>
      <c r="X30" s="11"/>
      <c r="Y30" s="11"/>
    </row>
  </sheetData>
  <mergeCells count="14">
    <mergeCell ref="C7:G7"/>
    <mergeCell ref="H7:J7"/>
    <mergeCell ref="K7:L7"/>
    <mergeCell ref="M7:Y7"/>
    <mergeCell ref="B3:Y3"/>
    <mergeCell ref="M4:N4"/>
    <mergeCell ref="R4:S4"/>
    <mergeCell ref="W4:X4"/>
    <mergeCell ref="H6:Y6"/>
    <mergeCell ref="H8:J8"/>
    <mergeCell ref="K8:L8"/>
    <mergeCell ref="M8:Q8"/>
    <mergeCell ref="R8:S8"/>
    <mergeCell ref="T8:Y8"/>
  </mergeCells>
  <printOptions horizontalCentered="1"/>
  <pageMargins left="0.25" right="0.25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2"/>
  <sheetViews>
    <sheetView workbookViewId="0">
      <selection activeCell="D16" sqref="D16"/>
    </sheetView>
  </sheetViews>
  <sheetFormatPr baseColWidth="10" defaultColWidth="11.7109375" defaultRowHeight="15" x14ac:dyDescent="0.25"/>
  <cols>
    <col min="1" max="1" width="11.7109375" customWidth="1"/>
    <col min="2" max="2" width="6.140625" bestFit="1" customWidth="1"/>
    <col min="3" max="3" width="9.5703125" bestFit="1" customWidth="1"/>
    <col min="4" max="4" width="7.5703125" bestFit="1" customWidth="1"/>
    <col min="5" max="5" width="8.5703125" bestFit="1" customWidth="1"/>
    <col min="6" max="6" width="6.5703125" bestFit="1" customWidth="1"/>
    <col min="7" max="7" width="8.5703125" bestFit="1" customWidth="1"/>
    <col min="8" max="8" width="6.5703125" bestFit="1" customWidth="1"/>
    <col min="257" max="257" width="11.7109375" customWidth="1"/>
    <col min="258" max="258" width="6.140625" bestFit="1" customWidth="1"/>
    <col min="259" max="259" width="9.5703125" bestFit="1" customWidth="1"/>
    <col min="260" max="260" width="7.5703125" bestFit="1" customWidth="1"/>
    <col min="261" max="261" width="8.5703125" bestFit="1" customWidth="1"/>
    <col min="262" max="262" width="6.5703125" bestFit="1" customWidth="1"/>
    <col min="263" max="263" width="8.5703125" bestFit="1" customWidth="1"/>
    <col min="264" max="264" width="6.5703125" bestFit="1" customWidth="1"/>
    <col min="513" max="513" width="11.7109375" customWidth="1"/>
    <col min="514" max="514" width="6.140625" bestFit="1" customWidth="1"/>
    <col min="515" max="515" width="9.5703125" bestFit="1" customWidth="1"/>
    <col min="516" max="516" width="7.5703125" bestFit="1" customWidth="1"/>
    <col min="517" max="517" width="8.5703125" bestFit="1" customWidth="1"/>
    <col min="518" max="518" width="6.5703125" bestFit="1" customWidth="1"/>
    <col min="519" max="519" width="8.5703125" bestFit="1" customWidth="1"/>
    <col min="520" max="520" width="6.5703125" bestFit="1" customWidth="1"/>
    <col min="769" max="769" width="11.7109375" customWidth="1"/>
    <col min="770" max="770" width="6.140625" bestFit="1" customWidth="1"/>
    <col min="771" max="771" width="9.5703125" bestFit="1" customWidth="1"/>
    <col min="772" max="772" width="7.5703125" bestFit="1" customWidth="1"/>
    <col min="773" max="773" width="8.5703125" bestFit="1" customWidth="1"/>
    <col min="774" max="774" width="6.5703125" bestFit="1" customWidth="1"/>
    <col min="775" max="775" width="8.5703125" bestFit="1" customWidth="1"/>
    <col min="776" max="776" width="6.5703125" bestFit="1" customWidth="1"/>
    <col min="1025" max="1025" width="11.7109375" customWidth="1"/>
    <col min="1026" max="1026" width="6.140625" bestFit="1" customWidth="1"/>
    <col min="1027" max="1027" width="9.5703125" bestFit="1" customWidth="1"/>
    <col min="1028" max="1028" width="7.5703125" bestFit="1" customWidth="1"/>
    <col min="1029" max="1029" width="8.5703125" bestFit="1" customWidth="1"/>
    <col min="1030" max="1030" width="6.5703125" bestFit="1" customWidth="1"/>
    <col min="1031" max="1031" width="8.5703125" bestFit="1" customWidth="1"/>
    <col min="1032" max="1032" width="6.5703125" bestFit="1" customWidth="1"/>
    <col min="1281" max="1281" width="11.7109375" customWidth="1"/>
    <col min="1282" max="1282" width="6.140625" bestFit="1" customWidth="1"/>
    <col min="1283" max="1283" width="9.5703125" bestFit="1" customWidth="1"/>
    <col min="1284" max="1284" width="7.5703125" bestFit="1" customWidth="1"/>
    <col min="1285" max="1285" width="8.5703125" bestFit="1" customWidth="1"/>
    <col min="1286" max="1286" width="6.5703125" bestFit="1" customWidth="1"/>
    <col min="1287" max="1287" width="8.5703125" bestFit="1" customWidth="1"/>
    <col min="1288" max="1288" width="6.5703125" bestFit="1" customWidth="1"/>
    <col min="1537" max="1537" width="11.7109375" customWidth="1"/>
    <col min="1538" max="1538" width="6.140625" bestFit="1" customWidth="1"/>
    <col min="1539" max="1539" width="9.5703125" bestFit="1" customWidth="1"/>
    <col min="1540" max="1540" width="7.5703125" bestFit="1" customWidth="1"/>
    <col min="1541" max="1541" width="8.5703125" bestFit="1" customWidth="1"/>
    <col min="1542" max="1542" width="6.5703125" bestFit="1" customWidth="1"/>
    <col min="1543" max="1543" width="8.5703125" bestFit="1" customWidth="1"/>
    <col min="1544" max="1544" width="6.5703125" bestFit="1" customWidth="1"/>
    <col min="1793" max="1793" width="11.7109375" customWidth="1"/>
    <col min="1794" max="1794" width="6.140625" bestFit="1" customWidth="1"/>
    <col min="1795" max="1795" width="9.5703125" bestFit="1" customWidth="1"/>
    <col min="1796" max="1796" width="7.5703125" bestFit="1" customWidth="1"/>
    <col min="1797" max="1797" width="8.5703125" bestFit="1" customWidth="1"/>
    <col min="1798" max="1798" width="6.5703125" bestFit="1" customWidth="1"/>
    <col min="1799" max="1799" width="8.5703125" bestFit="1" customWidth="1"/>
    <col min="1800" max="1800" width="6.5703125" bestFit="1" customWidth="1"/>
    <col min="2049" max="2049" width="11.7109375" customWidth="1"/>
    <col min="2050" max="2050" width="6.140625" bestFit="1" customWidth="1"/>
    <col min="2051" max="2051" width="9.5703125" bestFit="1" customWidth="1"/>
    <col min="2052" max="2052" width="7.5703125" bestFit="1" customWidth="1"/>
    <col min="2053" max="2053" width="8.5703125" bestFit="1" customWidth="1"/>
    <col min="2054" max="2054" width="6.5703125" bestFit="1" customWidth="1"/>
    <col min="2055" max="2055" width="8.5703125" bestFit="1" customWidth="1"/>
    <col min="2056" max="2056" width="6.5703125" bestFit="1" customWidth="1"/>
    <col min="2305" max="2305" width="11.7109375" customWidth="1"/>
    <col min="2306" max="2306" width="6.140625" bestFit="1" customWidth="1"/>
    <col min="2307" max="2307" width="9.5703125" bestFit="1" customWidth="1"/>
    <col min="2308" max="2308" width="7.5703125" bestFit="1" customWidth="1"/>
    <col min="2309" max="2309" width="8.5703125" bestFit="1" customWidth="1"/>
    <col min="2310" max="2310" width="6.5703125" bestFit="1" customWidth="1"/>
    <col min="2311" max="2311" width="8.5703125" bestFit="1" customWidth="1"/>
    <col min="2312" max="2312" width="6.5703125" bestFit="1" customWidth="1"/>
    <col min="2561" max="2561" width="11.7109375" customWidth="1"/>
    <col min="2562" max="2562" width="6.140625" bestFit="1" customWidth="1"/>
    <col min="2563" max="2563" width="9.5703125" bestFit="1" customWidth="1"/>
    <col min="2564" max="2564" width="7.5703125" bestFit="1" customWidth="1"/>
    <col min="2565" max="2565" width="8.5703125" bestFit="1" customWidth="1"/>
    <col min="2566" max="2566" width="6.5703125" bestFit="1" customWidth="1"/>
    <col min="2567" max="2567" width="8.5703125" bestFit="1" customWidth="1"/>
    <col min="2568" max="2568" width="6.5703125" bestFit="1" customWidth="1"/>
    <col min="2817" max="2817" width="11.7109375" customWidth="1"/>
    <col min="2818" max="2818" width="6.140625" bestFit="1" customWidth="1"/>
    <col min="2819" max="2819" width="9.5703125" bestFit="1" customWidth="1"/>
    <col min="2820" max="2820" width="7.5703125" bestFit="1" customWidth="1"/>
    <col min="2821" max="2821" width="8.5703125" bestFit="1" customWidth="1"/>
    <col min="2822" max="2822" width="6.5703125" bestFit="1" customWidth="1"/>
    <col min="2823" max="2823" width="8.5703125" bestFit="1" customWidth="1"/>
    <col min="2824" max="2824" width="6.5703125" bestFit="1" customWidth="1"/>
    <col min="3073" max="3073" width="11.7109375" customWidth="1"/>
    <col min="3074" max="3074" width="6.140625" bestFit="1" customWidth="1"/>
    <col min="3075" max="3075" width="9.5703125" bestFit="1" customWidth="1"/>
    <col min="3076" max="3076" width="7.5703125" bestFit="1" customWidth="1"/>
    <col min="3077" max="3077" width="8.5703125" bestFit="1" customWidth="1"/>
    <col min="3078" max="3078" width="6.5703125" bestFit="1" customWidth="1"/>
    <col min="3079" max="3079" width="8.5703125" bestFit="1" customWidth="1"/>
    <col min="3080" max="3080" width="6.5703125" bestFit="1" customWidth="1"/>
    <col min="3329" max="3329" width="11.7109375" customWidth="1"/>
    <col min="3330" max="3330" width="6.140625" bestFit="1" customWidth="1"/>
    <col min="3331" max="3331" width="9.5703125" bestFit="1" customWidth="1"/>
    <col min="3332" max="3332" width="7.5703125" bestFit="1" customWidth="1"/>
    <col min="3333" max="3333" width="8.5703125" bestFit="1" customWidth="1"/>
    <col min="3334" max="3334" width="6.5703125" bestFit="1" customWidth="1"/>
    <col min="3335" max="3335" width="8.5703125" bestFit="1" customWidth="1"/>
    <col min="3336" max="3336" width="6.5703125" bestFit="1" customWidth="1"/>
    <col min="3585" max="3585" width="11.7109375" customWidth="1"/>
    <col min="3586" max="3586" width="6.140625" bestFit="1" customWidth="1"/>
    <col min="3587" max="3587" width="9.5703125" bestFit="1" customWidth="1"/>
    <col min="3588" max="3588" width="7.5703125" bestFit="1" customWidth="1"/>
    <col min="3589" max="3589" width="8.5703125" bestFit="1" customWidth="1"/>
    <col min="3590" max="3590" width="6.5703125" bestFit="1" customWidth="1"/>
    <col min="3591" max="3591" width="8.5703125" bestFit="1" customWidth="1"/>
    <col min="3592" max="3592" width="6.5703125" bestFit="1" customWidth="1"/>
    <col min="3841" max="3841" width="11.7109375" customWidth="1"/>
    <col min="3842" max="3842" width="6.140625" bestFit="1" customWidth="1"/>
    <col min="3843" max="3843" width="9.5703125" bestFit="1" customWidth="1"/>
    <col min="3844" max="3844" width="7.5703125" bestFit="1" customWidth="1"/>
    <col min="3845" max="3845" width="8.5703125" bestFit="1" customWidth="1"/>
    <col min="3846" max="3846" width="6.5703125" bestFit="1" customWidth="1"/>
    <col min="3847" max="3847" width="8.5703125" bestFit="1" customWidth="1"/>
    <col min="3848" max="3848" width="6.5703125" bestFit="1" customWidth="1"/>
    <col min="4097" max="4097" width="11.7109375" customWidth="1"/>
    <col min="4098" max="4098" width="6.140625" bestFit="1" customWidth="1"/>
    <col min="4099" max="4099" width="9.5703125" bestFit="1" customWidth="1"/>
    <col min="4100" max="4100" width="7.5703125" bestFit="1" customWidth="1"/>
    <col min="4101" max="4101" width="8.5703125" bestFit="1" customWidth="1"/>
    <col min="4102" max="4102" width="6.5703125" bestFit="1" customWidth="1"/>
    <col min="4103" max="4103" width="8.5703125" bestFit="1" customWidth="1"/>
    <col min="4104" max="4104" width="6.5703125" bestFit="1" customWidth="1"/>
    <col min="4353" max="4353" width="11.7109375" customWidth="1"/>
    <col min="4354" max="4354" width="6.140625" bestFit="1" customWidth="1"/>
    <col min="4355" max="4355" width="9.5703125" bestFit="1" customWidth="1"/>
    <col min="4356" max="4356" width="7.5703125" bestFit="1" customWidth="1"/>
    <col min="4357" max="4357" width="8.5703125" bestFit="1" customWidth="1"/>
    <col min="4358" max="4358" width="6.5703125" bestFit="1" customWidth="1"/>
    <col min="4359" max="4359" width="8.5703125" bestFit="1" customWidth="1"/>
    <col min="4360" max="4360" width="6.5703125" bestFit="1" customWidth="1"/>
    <col min="4609" max="4609" width="11.7109375" customWidth="1"/>
    <col min="4610" max="4610" width="6.140625" bestFit="1" customWidth="1"/>
    <col min="4611" max="4611" width="9.5703125" bestFit="1" customWidth="1"/>
    <col min="4612" max="4612" width="7.5703125" bestFit="1" customWidth="1"/>
    <col min="4613" max="4613" width="8.5703125" bestFit="1" customWidth="1"/>
    <col min="4614" max="4614" width="6.5703125" bestFit="1" customWidth="1"/>
    <col min="4615" max="4615" width="8.5703125" bestFit="1" customWidth="1"/>
    <col min="4616" max="4616" width="6.5703125" bestFit="1" customWidth="1"/>
    <col min="4865" max="4865" width="11.7109375" customWidth="1"/>
    <col min="4866" max="4866" width="6.140625" bestFit="1" customWidth="1"/>
    <col min="4867" max="4867" width="9.5703125" bestFit="1" customWidth="1"/>
    <col min="4868" max="4868" width="7.5703125" bestFit="1" customWidth="1"/>
    <col min="4869" max="4869" width="8.5703125" bestFit="1" customWidth="1"/>
    <col min="4870" max="4870" width="6.5703125" bestFit="1" customWidth="1"/>
    <col min="4871" max="4871" width="8.5703125" bestFit="1" customWidth="1"/>
    <col min="4872" max="4872" width="6.5703125" bestFit="1" customWidth="1"/>
    <col min="5121" max="5121" width="11.7109375" customWidth="1"/>
    <col min="5122" max="5122" width="6.140625" bestFit="1" customWidth="1"/>
    <col min="5123" max="5123" width="9.5703125" bestFit="1" customWidth="1"/>
    <col min="5124" max="5124" width="7.5703125" bestFit="1" customWidth="1"/>
    <col min="5125" max="5125" width="8.5703125" bestFit="1" customWidth="1"/>
    <col min="5126" max="5126" width="6.5703125" bestFit="1" customWidth="1"/>
    <col min="5127" max="5127" width="8.5703125" bestFit="1" customWidth="1"/>
    <col min="5128" max="5128" width="6.5703125" bestFit="1" customWidth="1"/>
    <col min="5377" max="5377" width="11.7109375" customWidth="1"/>
    <col min="5378" max="5378" width="6.140625" bestFit="1" customWidth="1"/>
    <col min="5379" max="5379" width="9.5703125" bestFit="1" customWidth="1"/>
    <col min="5380" max="5380" width="7.5703125" bestFit="1" customWidth="1"/>
    <col min="5381" max="5381" width="8.5703125" bestFit="1" customWidth="1"/>
    <col min="5382" max="5382" width="6.5703125" bestFit="1" customWidth="1"/>
    <col min="5383" max="5383" width="8.5703125" bestFit="1" customWidth="1"/>
    <col min="5384" max="5384" width="6.5703125" bestFit="1" customWidth="1"/>
    <col min="5633" max="5633" width="11.7109375" customWidth="1"/>
    <col min="5634" max="5634" width="6.140625" bestFit="1" customWidth="1"/>
    <col min="5635" max="5635" width="9.5703125" bestFit="1" customWidth="1"/>
    <col min="5636" max="5636" width="7.5703125" bestFit="1" customWidth="1"/>
    <col min="5637" max="5637" width="8.5703125" bestFit="1" customWidth="1"/>
    <col min="5638" max="5638" width="6.5703125" bestFit="1" customWidth="1"/>
    <col min="5639" max="5639" width="8.5703125" bestFit="1" customWidth="1"/>
    <col min="5640" max="5640" width="6.5703125" bestFit="1" customWidth="1"/>
    <col min="5889" max="5889" width="11.7109375" customWidth="1"/>
    <col min="5890" max="5890" width="6.140625" bestFit="1" customWidth="1"/>
    <col min="5891" max="5891" width="9.5703125" bestFit="1" customWidth="1"/>
    <col min="5892" max="5892" width="7.5703125" bestFit="1" customWidth="1"/>
    <col min="5893" max="5893" width="8.5703125" bestFit="1" customWidth="1"/>
    <col min="5894" max="5894" width="6.5703125" bestFit="1" customWidth="1"/>
    <col min="5895" max="5895" width="8.5703125" bestFit="1" customWidth="1"/>
    <col min="5896" max="5896" width="6.5703125" bestFit="1" customWidth="1"/>
    <col min="6145" max="6145" width="11.7109375" customWidth="1"/>
    <col min="6146" max="6146" width="6.140625" bestFit="1" customWidth="1"/>
    <col min="6147" max="6147" width="9.5703125" bestFit="1" customWidth="1"/>
    <col min="6148" max="6148" width="7.5703125" bestFit="1" customWidth="1"/>
    <col min="6149" max="6149" width="8.5703125" bestFit="1" customWidth="1"/>
    <col min="6150" max="6150" width="6.5703125" bestFit="1" customWidth="1"/>
    <col min="6151" max="6151" width="8.5703125" bestFit="1" customWidth="1"/>
    <col min="6152" max="6152" width="6.5703125" bestFit="1" customWidth="1"/>
    <col min="6401" max="6401" width="11.7109375" customWidth="1"/>
    <col min="6402" max="6402" width="6.140625" bestFit="1" customWidth="1"/>
    <col min="6403" max="6403" width="9.5703125" bestFit="1" customWidth="1"/>
    <col min="6404" max="6404" width="7.5703125" bestFit="1" customWidth="1"/>
    <col min="6405" max="6405" width="8.5703125" bestFit="1" customWidth="1"/>
    <col min="6406" max="6406" width="6.5703125" bestFit="1" customWidth="1"/>
    <col min="6407" max="6407" width="8.5703125" bestFit="1" customWidth="1"/>
    <col min="6408" max="6408" width="6.5703125" bestFit="1" customWidth="1"/>
    <col min="6657" max="6657" width="11.7109375" customWidth="1"/>
    <col min="6658" max="6658" width="6.140625" bestFit="1" customWidth="1"/>
    <col min="6659" max="6659" width="9.5703125" bestFit="1" customWidth="1"/>
    <col min="6660" max="6660" width="7.5703125" bestFit="1" customWidth="1"/>
    <col min="6661" max="6661" width="8.5703125" bestFit="1" customWidth="1"/>
    <col min="6662" max="6662" width="6.5703125" bestFit="1" customWidth="1"/>
    <col min="6663" max="6663" width="8.5703125" bestFit="1" customWidth="1"/>
    <col min="6664" max="6664" width="6.5703125" bestFit="1" customWidth="1"/>
    <col min="6913" max="6913" width="11.7109375" customWidth="1"/>
    <col min="6914" max="6914" width="6.140625" bestFit="1" customWidth="1"/>
    <col min="6915" max="6915" width="9.5703125" bestFit="1" customWidth="1"/>
    <col min="6916" max="6916" width="7.5703125" bestFit="1" customWidth="1"/>
    <col min="6917" max="6917" width="8.5703125" bestFit="1" customWidth="1"/>
    <col min="6918" max="6918" width="6.5703125" bestFit="1" customWidth="1"/>
    <col min="6919" max="6919" width="8.5703125" bestFit="1" customWidth="1"/>
    <col min="6920" max="6920" width="6.5703125" bestFit="1" customWidth="1"/>
    <col min="7169" max="7169" width="11.7109375" customWidth="1"/>
    <col min="7170" max="7170" width="6.140625" bestFit="1" customWidth="1"/>
    <col min="7171" max="7171" width="9.5703125" bestFit="1" customWidth="1"/>
    <col min="7172" max="7172" width="7.5703125" bestFit="1" customWidth="1"/>
    <col min="7173" max="7173" width="8.5703125" bestFit="1" customWidth="1"/>
    <col min="7174" max="7174" width="6.5703125" bestFit="1" customWidth="1"/>
    <col min="7175" max="7175" width="8.5703125" bestFit="1" customWidth="1"/>
    <col min="7176" max="7176" width="6.5703125" bestFit="1" customWidth="1"/>
    <col min="7425" max="7425" width="11.7109375" customWidth="1"/>
    <col min="7426" max="7426" width="6.140625" bestFit="1" customWidth="1"/>
    <col min="7427" max="7427" width="9.5703125" bestFit="1" customWidth="1"/>
    <col min="7428" max="7428" width="7.5703125" bestFit="1" customWidth="1"/>
    <col min="7429" max="7429" width="8.5703125" bestFit="1" customWidth="1"/>
    <col min="7430" max="7430" width="6.5703125" bestFit="1" customWidth="1"/>
    <col min="7431" max="7431" width="8.5703125" bestFit="1" customWidth="1"/>
    <col min="7432" max="7432" width="6.5703125" bestFit="1" customWidth="1"/>
    <col min="7681" max="7681" width="11.7109375" customWidth="1"/>
    <col min="7682" max="7682" width="6.140625" bestFit="1" customWidth="1"/>
    <col min="7683" max="7683" width="9.5703125" bestFit="1" customWidth="1"/>
    <col min="7684" max="7684" width="7.5703125" bestFit="1" customWidth="1"/>
    <col min="7685" max="7685" width="8.5703125" bestFit="1" customWidth="1"/>
    <col min="7686" max="7686" width="6.5703125" bestFit="1" customWidth="1"/>
    <col min="7687" max="7687" width="8.5703125" bestFit="1" customWidth="1"/>
    <col min="7688" max="7688" width="6.5703125" bestFit="1" customWidth="1"/>
    <col min="7937" max="7937" width="11.7109375" customWidth="1"/>
    <col min="7938" max="7938" width="6.140625" bestFit="1" customWidth="1"/>
    <col min="7939" max="7939" width="9.5703125" bestFit="1" customWidth="1"/>
    <col min="7940" max="7940" width="7.5703125" bestFit="1" customWidth="1"/>
    <col min="7941" max="7941" width="8.5703125" bestFit="1" customWidth="1"/>
    <col min="7942" max="7942" width="6.5703125" bestFit="1" customWidth="1"/>
    <col min="7943" max="7943" width="8.5703125" bestFit="1" customWidth="1"/>
    <col min="7944" max="7944" width="6.5703125" bestFit="1" customWidth="1"/>
    <col min="8193" max="8193" width="11.7109375" customWidth="1"/>
    <col min="8194" max="8194" width="6.140625" bestFit="1" customWidth="1"/>
    <col min="8195" max="8195" width="9.5703125" bestFit="1" customWidth="1"/>
    <col min="8196" max="8196" width="7.5703125" bestFit="1" customWidth="1"/>
    <col min="8197" max="8197" width="8.5703125" bestFit="1" customWidth="1"/>
    <col min="8198" max="8198" width="6.5703125" bestFit="1" customWidth="1"/>
    <col min="8199" max="8199" width="8.5703125" bestFit="1" customWidth="1"/>
    <col min="8200" max="8200" width="6.5703125" bestFit="1" customWidth="1"/>
    <col min="8449" max="8449" width="11.7109375" customWidth="1"/>
    <col min="8450" max="8450" width="6.140625" bestFit="1" customWidth="1"/>
    <col min="8451" max="8451" width="9.5703125" bestFit="1" customWidth="1"/>
    <col min="8452" max="8452" width="7.5703125" bestFit="1" customWidth="1"/>
    <col min="8453" max="8453" width="8.5703125" bestFit="1" customWidth="1"/>
    <col min="8454" max="8454" width="6.5703125" bestFit="1" customWidth="1"/>
    <col min="8455" max="8455" width="8.5703125" bestFit="1" customWidth="1"/>
    <col min="8456" max="8456" width="6.5703125" bestFit="1" customWidth="1"/>
    <col min="8705" max="8705" width="11.7109375" customWidth="1"/>
    <col min="8706" max="8706" width="6.140625" bestFit="1" customWidth="1"/>
    <col min="8707" max="8707" width="9.5703125" bestFit="1" customWidth="1"/>
    <col min="8708" max="8708" width="7.5703125" bestFit="1" customWidth="1"/>
    <col min="8709" max="8709" width="8.5703125" bestFit="1" customWidth="1"/>
    <col min="8710" max="8710" width="6.5703125" bestFit="1" customWidth="1"/>
    <col min="8711" max="8711" width="8.5703125" bestFit="1" customWidth="1"/>
    <col min="8712" max="8712" width="6.5703125" bestFit="1" customWidth="1"/>
    <col min="8961" max="8961" width="11.7109375" customWidth="1"/>
    <col min="8962" max="8962" width="6.140625" bestFit="1" customWidth="1"/>
    <col min="8963" max="8963" width="9.5703125" bestFit="1" customWidth="1"/>
    <col min="8964" max="8964" width="7.5703125" bestFit="1" customWidth="1"/>
    <col min="8965" max="8965" width="8.5703125" bestFit="1" customWidth="1"/>
    <col min="8966" max="8966" width="6.5703125" bestFit="1" customWidth="1"/>
    <col min="8967" max="8967" width="8.5703125" bestFit="1" customWidth="1"/>
    <col min="8968" max="8968" width="6.5703125" bestFit="1" customWidth="1"/>
    <col min="9217" max="9217" width="11.7109375" customWidth="1"/>
    <col min="9218" max="9218" width="6.140625" bestFit="1" customWidth="1"/>
    <col min="9219" max="9219" width="9.5703125" bestFit="1" customWidth="1"/>
    <col min="9220" max="9220" width="7.5703125" bestFit="1" customWidth="1"/>
    <col min="9221" max="9221" width="8.5703125" bestFit="1" customWidth="1"/>
    <col min="9222" max="9222" width="6.5703125" bestFit="1" customWidth="1"/>
    <col min="9223" max="9223" width="8.5703125" bestFit="1" customWidth="1"/>
    <col min="9224" max="9224" width="6.5703125" bestFit="1" customWidth="1"/>
    <col min="9473" max="9473" width="11.7109375" customWidth="1"/>
    <col min="9474" max="9474" width="6.140625" bestFit="1" customWidth="1"/>
    <col min="9475" max="9475" width="9.5703125" bestFit="1" customWidth="1"/>
    <col min="9476" max="9476" width="7.5703125" bestFit="1" customWidth="1"/>
    <col min="9477" max="9477" width="8.5703125" bestFit="1" customWidth="1"/>
    <col min="9478" max="9478" width="6.5703125" bestFit="1" customWidth="1"/>
    <col min="9479" max="9479" width="8.5703125" bestFit="1" customWidth="1"/>
    <col min="9480" max="9480" width="6.5703125" bestFit="1" customWidth="1"/>
    <col min="9729" max="9729" width="11.7109375" customWidth="1"/>
    <col min="9730" max="9730" width="6.140625" bestFit="1" customWidth="1"/>
    <col min="9731" max="9731" width="9.5703125" bestFit="1" customWidth="1"/>
    <col min="9732" max="9732" width="7.5703125" bestFit="1" customWidth="1"/>
    <col min="9733" max="9733" width="8.5703125" bestFit="1" customWidth="1"/>
    <col min="9734" max="9734" width="6.5703125" bestFit="1" customWidth="1"/>
    <col min="9735" max="9735" width="8.5703125" bestFit="1" customWidth="1"/>
    <col min="9736" max="9736" width="6.5703125" bestFit="1" customWidth="1"/>
    <col min="9985" max="9985" width="11.7109375" customWidth="1"/>
    <col min="9986" max="9986" width="6.140625" bestFit="1" customWidth="1"/>
    <col min="9987" max="9987" width="9.5703125" bestFit="1" customWidth="1"/>
    <col min="9988" max="9988" width="7.5703125" bestFit="1" customWidth="1"/>
    <col min="9989" max="9989" width="8.5703125" bestFit="1" customWidth="1"/>
    <col min="9990" max="9990" width="6.5703125" bestFit="1" customWidth="1"/>
    <col min="9991" max="9991" width="8.5703125" bestFit="1" customWidth="1"/>
    <col min="9992" max="9992" width="6.5703125" bestFit="1" customWidth="1"/>
    <col min="10241" max="10241" width="11.7109375" customWidth="1"/>
    <col min="10242" max="10242" width="6.140625" bestFit="1" customWidth="1"/>
    <col min="10243" max="10243" width="9.5703125" bestFit="1" customWidth="1"/>
    <col min="10244" max="10244" width="7.5703125" bestFit="1" customWidth="1"/>
    <col min="10245" max="10245" width="8.5703125" bestFit="1" customWidth="1"/>
    <col min="10246" max="10246" width="6.5703125" bestFit="1" customWidth="1"/>
    <col min="10247" max="10247" width="8.5703125" bestFit="1" customWidth="1"/>
    <col min="10248" max="10248" width="6.5703125" bestFit="1" customWidth="1"/>
    <col min="10497" max="10497" width="11.7109375" customWidth="1"/>
    <col min="10498" max="10498" width="6.140625" bestFit="1" customWidth="1"/>
    <col min="10499" max="10499" width="9.5703125" bestFit="1" customWidth="1"/>
    <col min="10500" max="10500" width="7.5703125" bestFit="1" customWidth="1"/>
    <col min="10501" max="10501" width="8.5703125" bestFit="1" customWidth="1"/>
    <col min="10502" max="10502" width="6.5703125" bestFit="1" customWidth="1"/>
    <col min="10503" max="10503" width="8.5703125" bestFit="1" customWidth="1"/>
    <col min="10504" max="10504" width="6.5703125" bestFit="1" customWidth="1"/>
    <col min="10753" max="10753" width="11.7109375" customWidth="1"/>
    <col min="10754" max="10754" width="6.140625" bestFit="1" customWidth="1"/>
    <col min="10755" max="10755" width="9.5703125" bestFit="1" customWidth="1"/>
    <col min="10756" max="10756" width="7.5703125" bestFit="1" customWidth="1"/>
    <col min="10757" max="10757" width="8.5703125" bestFit="1" customWidth="1"/>
    <col min="10758" max="10758" width="6.5703125" bestFit="1" customWidth="1"/>
    <col min="10759" max="10759" width="8.5703125" bestFit="1" customWidth="1"/>
    <col min="10760" max="10760" width="6.5703125" bestFit="1" customWidth="1"/>
    <col min="11009" max="11009" width="11.7109375" customWidth="1"/>
    <col min="11010" max="11010" width="6.140625" bestFit="1" customWidth="1"/>
    <col min="11011" max="11011" width="9.5703125" bestFit="1" customWidth="1"/>
    <col min="11012" max="11012" width="7.5703125" bestFit="1" customWidth="1"/>
    <col min="11013" max="11013" width="8.5703125" bestFit="1" customWidth="1"/>
    <col min="11014" max="11014" width="6.5703125" bestFit="1" customWidth="1"/>
    <col min="11015" max="11015" width="8.5703125" bestFit="1" customWidth="1"/>
    <col min="11016" max="11016" width="6.5703125" bestFit="1" customWidth="1"/>
    <col min="11265" max="11265" width="11.7109375" customWidth="1"/>
    <col min="11266" max="11266" width="6.140625" bestFit="1" customWidth="1"/>
    <col min="11267" max="11267" width="9.5703125" bestFit="1" customWidth="1"/>
    <col min="11268" max="11268" width="7.5703125" bestFit="1" customWidth="1"/>
    <col min="11269" max="11269" width="8.5703125" bestFit="1" customWidth="1"/>
    <col min="11270" max="11270" width="6.5703125" bestFit="1" customWidth="1"/>
    <col min="11271" max="11271" width="8.5703125" bestFit="1" customWidth="1"/>
    <col min="11272" max="11272" width="6.5703125" bestFit="1" customWidth="1"/>
    <col min="11521" max="11521" width="11.7109375" customWidth="1"/>
    <col min="11522" max="11522" width="6.140625" bestFit="1" customWidth="1"/>
    <col min="11523" max="11523" width="9.5703125" bestFit="1" customWidth="1"/>
    <col min="11524" max="11524" width="7.5703125" bestFit="1" customWidth="1"/>
    <col min="11525" max="11525" width="8.5703125" bestFit="1" customWidth="1"/>
    <col min="11526" max="11526" width="6.5703125" bestFit="1" customWidth="1"/>
    <col min="11527" max="11527" width="8.5703125" bestFit="1" customWidth="1"/>
    <col min="11528" max="11528" width="6.5703125" bestFit="1" customWidth="1"/>
    <col min="11777" max="11777" width="11.7109375" customWidth="1"/>
    <col min="11778" max="11778" width="6.140625" bestFit="1" customWidth="1"/>
    <col min="11779" max="11779" width="9.5703125" bestFit="1" customWidth="1"/>
    <col min="11780" max="11780" width="7.5703125" bestFit="1" customWidth="1"/>
    <col min="11781" max="11781" width="8.5703125" bestFit="1" customWidth="1"/>
    <col min="11782" max="11782" width="6.5703125" bestFit="1" customWidth="1"/>
    <col min="11783" max="11783" width="8.5703125" bestFit="1" customWidth="1"/>
    <col min="11784" max="11784" width="6.5703125" bestFit="1" customWidth="1"/>
    <col min="12033" max="12033" width="11.7109375" customWidth="1"/>
    <col min="12034" max="12034" width="6.140625" bestFit="1" customWidth="1"/>
    <col min="12035" max="12035" width="9.5703125" bestFit="1" customWidth="1"/>
    <col min="12036" max="12036" width="7.5703125" bestFit="1" customWidth="1"/>
    <col min="12037" max="12037" width="8.5703125" bestFit="1" customWidth="1"/>
    <col min="12038" max="12038" width="6.5703125" bestFit="1" customWidth="1"/>
    <col min="12039" max="12039" width="8.5703125" bestFit="1" customWidth="1"/>
    <col min="12040" max="12040" width="6.5703125" bestFit="1" customWidth="1"/>
    <col min="12289" max="12289" width="11.7109375" customWidth="1"/>
    <col min="12290" max="12290" width="6.140625" bestFit="1" customWidth="1"/>
    <col min="12291" max="12291" width="9.5703125" bestFit="1" customWidth="1"/>
    <col min="12292" max="12292" width="7.5703125" bestFit="1" customWidth="1"/>
    <col min="12293" max="12293" width="8.5703125" bestFit="1" customWidth="1"/>
    <col min="12294" max="12294" width="6.5703125" bestFit="1" customWidth="1"/>
    <col min="12295" max="12295" width="8.5703125" bestFit="1" customWidth="1"/>
    <col min="12296" max="12296" width="6.5703125" bestFit="1" customWidth="1"/>
    <col min="12545" max="12545" width="11.7109375" customWidth="1"/>
    <col min="12546" max="12546" width="6.140625" bestFit="1" customWidth="1"/>
    <col min="12547" max="12547" width="9.5703125" bestFit="1" customWidth="1"/>
    <col min="12548" max="12548" width="7.5703125" bestFit="1" customWidth="1"/>
    <col min="12549" max="12549" width="8.5703125" bestFit="1" customWidth="1"/>
    <col min="12550" max="12550" width="6.5703125" bestFit="1" customWidth="1"/>
    <col min="12551" max="12551" width="8.5703125" bestFit="1" customWidth="1"/>
    <col min="12552" max="12552" width="6.5703125" bestFit="1" customWidth="1"/>
    <col min="12801" max="12801" width="11.7109375" customWidth="1"/>
    <col min="12802" max="12802" width="6.140625" bestFit="1" customWidth="1"/>
    <col min="12803" max="12803" width="9.5703125" bestFit="1" customWidth="1"/>
    <col min="12804" max="12804" width="7.5703125" bestFit="1" customWidth="1"/>
    <col min="12805" max="12805" width="8.5703125" bestFit="1" customWidth="1"/>
    <col min="12806" max="12806" width="6.5703125" bestFit="1" customWidth="1"/>
    <col min="12807" max="12807" width="8.5703125" bestFit="1" customWidth="1"/>
    <col min="12808" max="12808" width="6.5703125" bestFit="1" customWidth="1"/>
    <col min="13057" max="13057" width="11.7109375" customWidth="1"/>
    <col min="13058" max="13058" width="6.140625" bestFit="1" customWidth="1"/>
    <col min="13059" max="13059" width="9.5703125" bestFit="1" customWidth="1"/>
    <col min="13060" max="13060" width="7.5703125" bestFit="1" customWidth="1"/>
    <col min="13061" max="13061" width="8.5703125" bestFit="1" customWidth="1"/>
    <col min="13062" max="13062" width="6.5703125" bestFit="1" customWidth="1"/>
    <col min="13063" max="13063" width="8.5703125" bestFit="1" customWidth="1"/>
    <col min="13064" max="13064" width="6.5703125" bestFit="1" customWidth="1"/>
    <col min="13313" max="13313" width="11.7109375" customWidth="1"/>
    <col min="13314" max="13314" width="6.140625" bestFit="1" customWidth="1"/>
    <col min="13315" max="13315" width="9.5703125" bestFit="1" customWidth="1"/>
    <col min="13316" max="13316" width="7.5703125" bestFit="1" customWidth="1"/>
    <col min="13317" max="13317" width="8.5703125" bestFit="1" customWidth="1"/>
    <col min="13318" max="13318" width="6.5703125" bestFit="1" customWidth="1"/>
    <col min="13319" max="13319" width="8.5703125" bestFit="1" customWidth="1"/>
    <col min="13320" max="13320" width="6.5703125" bestFit="1" customWidth="1"/>
    <col min="13569" max="13569" width="11.7109375" customWidth="1"/>
    <col min="13570" max="13570" width="6.140625" bestFit="1" customWidth="1"/>
    <col min="13571" max="13571" width="9.5703125" bestFit="1" customWidth="1"/>
    <col min="13572" max="13572" width="7.5703125" bestFit="1" customWidth="1"/>
    <col min="13573" max="13573" width="8.5703125" bestFit="1" customWidth="1"/>
    <col min="13574" max="13574" width="6.5703125" bestFit="1" customWidth="1"/>
    <col min="13575" max="13575" width="8.5703125" bestFit="1" customWidth="1"/>
    <col min="13576" max="13576" width="6.5703125" bestFit="1" customWidth="1"/>
    <col min="13825" max="13825" width="11.7109375" customWidth="1"/>
    <col min="13826" max="13826" width="6.140625" bestFit="1" customWidth="1"/>
    <col min="13827" max="13827" width="9.5703125" bestFit="1" customWidth="1"/>
    <col min="13828" max="13828" width="7.5703125" bestFit="1" customWidth="1"/>
    <col min="13829" max="13829" width="8.5703125" bestFit="1" customWidth="1"/>
    <col min="13830" max="13830" width="6.5703125" bestFit="1" customWidth="1"/>
    <col min="13831" max="13831" width="8.5703125" bestFit="1" customWidth="1"/>
    <col min="13832" max="13832" width="6.5703125" bestFit="1" customWidth="1"/>
    <col min="14081" max="14081" width="11.7109375" customWidth="1"/>
    <col min="14082" max="14082" width="6.140625" bestFit="1" customWidth="1"/>
    <col min="14083" max="14083" width="9.5703125" bestFit="1" customWidth="1"/>
    <col min="14084" max="14084" width="7.5703125" bestFit="1" customWidth="1"/>
    <col min="14085" max="14085" width="8.5703125" bestFit="1" customWidth="1"/>
    <col min="14086" max="14086" width="6.5703125" bestFit="1" customWidth="1"/>
    <col min="14087" max="14087" width="8.5703125" bestFit="1" customWidth="1"/>
    <col min="14088" max="14088" width="6.5703125" bestFit="1" customWidth="1"/>
    <col min="14337" max="14337" width="11.7109375" customWidth="1"/>
    <col min="14338" max="14338" width="6.140625" bestFit="1" customWidth="1"/>
    <col min="14339" max="14339" width="9.5703125" bestFit="1" customWidth="1"/>
    <col min="14340" max="14340" width="7.5703125" bestFit="1" customWidth="1"/>
    <col min="14341" max="14341" width="8.5703125" bestFit="1" customWidth="1"/>
    <col min="14342" max="14342" width="6.5703125" bestFit="1" customWidth="1"/>
    <col min="14343" max="14343" width="8.5703125" bestFit="1" customWidth="1"/>
    <col min="14344" max="14344" width="6.5703125" bestFit="1" customWidth="1"/>
    <col min="14593" max="14593" width="11.7109375" customWidth="1"/>
    <col min="14594" max="14594" width="6.140625" bestFit="1" customWidth="1"/>
    <col min="14595" max="14595" width="9.5703125" bestFit="1" customWidth="1"/>
    <col min="14596" max="14596" width="7.5703125" bestFit="1" customWidth="1"/>
    <col min="14597" max="14597" width="8.5703125" bestFit="1" customWidth="1"/>
    <col min="14598" max="14598" width="6.5703125" bestFit="1" customWidth="1"/>
    <col min="14599" max="14599" width="8.5703125" bestFit="1" customWidth="1"/>
    <col min="14600" max="14600" width="6.5703125" bestFit="1" customWidth="1"/>
    <col min="14849" max="14849" width="11.7109375" customWidth="1"/>
    <col min="14850" max="14850" width="6.140625" bestFit="1" customWidth="1"/>
    <col min="14851" max="14851" width="9.5703125" bestFit="1" customWidth="1"/>
    <col min="14852" max="14852" width="7.5703125" bestFit="1" customWidth="1"/>
    <col min="14853" max="14853" width="8.5703125" bestFit="1" customWidth="1"/>
    <col min="14854" max="14854" width="6.5703125" bestFit="1" customWidth="1"/>
    <col min="14855" max="14855" width="8.5703125" bestFit="1" customWidth="1"/>
    <col min="14856" max="14856" width="6.5703125" bestFit="1" customWidth="1"/>
    <col min="15105" max="15105" width="11.7109375" customWidth="1"/>
    <col min="15106" max="15106" width="6.140625" bestFit="1" customWidth="1"/>
    <col min="15107" max="15107" width="9.5703125" bestFit="1" customWidth="1"/>
    <col min="15108" max="15108" width="7.5703125" bestFit="1" customWidth="1"/>
    <col min="15109" max="15109" width="8.5703125" bestFit="1" customWidth="1"/>
    <col min="15110" max="15110" width="6.5703125" bestFit="1" customWidth="1"/>
    <col min="15111" max="15111" width="8.5703125" bestFit="1" customWidth="1"/>
    <col min="15112" max="15112" width="6.5703125" bestFit="1" customWidth="1"/>
    <col min="15361" max="15361" width="11.7109375" customWidth="1"/>
    <col min="15362" max="15362" width="6.140625" bestFit="1" customWidth="1"/>
    <col min="15363" max="15363" width="9.5703125" bestFit="1" customWidth="1"/>
    <col min="15364" max="15364" width="7.5703125" bestFit="1" customWidth="1"/>
    <col min="15365" max="15365" width="8.5703125" bestFit="1" customWidth="1"/>
    <col min="15366" max="15366" width="6.5703125" bestFit="1" customWidth="1"/>
    <col min="15367" max="15367" width="8.5703125" bestFit="1" customWidth="1"/>
    <col min="15368" max="15368" width="6.5703125" bestFit="1" customWidth="1"/>
    <col min="15617" max="15617" width="11.7109375" customWidth="1"/>
    <col min="15618" max="15618" width="6.140625" bestFit="1" customWidth="1"/>
    <col min="15619" max="15619" width="9.5703125" bestFit="1" customWidth="1"/>
    <col min="15620" max="15620" width="7.5703125" bestFit="1" customWidth="1"/>
    <col min="15621" max="15621" width="8.5703125" bestFit="1" customWidth="1"/>
    <col min="15622" max="15622" width="6.5703125" bestFit="1" customWidth="1"/>
    <col min="15623" max="15623" width="8.5703125" bestFit="1" customWidth="1"/>
    <col min="15624" max="15624" width="6.5703125" bestFit="1" customWidth="1"/>
    <col min="15873" max="15873" width="11.7109375" customWidth="1"/>
    <col min="15874" max="15874" width="6.140625" bestFit="1" customWidth="1"/>
    <col min="15875" max="15875" width="9.5703125" bestFit="1" customWidth="1"/>
    <col min="15876" max="15876" width="7.5703125" bestFit="1" customWidth="1"/>
    <col min="15877" max="15877" width="8.5703125" bestFit="1" customWidth="1"/>
    <col min="15878" max="15878" width="6.5703125" bestFit="1" customWidth="1"/>
    <col min="15879" max="15879" width="8.5703125" bestFit="1" customWidth="1"/>
    <col min="15880" max="15880" width="6.5703125" bestFit="1" customWidth="1"/>
    <col min="16129" max="16129" width="11.7109375" customWidth="1"/>
    <col min="16130" max="16130" width="6.140625" bestFit="1" customWidth="1"/>
    <col min="16131" max="16131" width="9.5703125" bestFit="1" customWidth="1"/>
    <col min="16132" max="16132" width="7.5703125" bestFit="1" customWidth="1"/>
    <col min="16133" max="16133" width="8.5703125" bestFit="1" customWidth="1"/>
    <col min="16134" max="16134" width="6.5703125" bestFit="1" customWidth="1"/>
    <col min="16135" max="16135" width="8.5703125" bestFit="1" customWidth="1"/>
    <col min="16136" max="16136" width="6.5703125" bestFit="1" customWidth="1"/>
  </cols>
  <sheetData>
    <row r="3" spans="2:8" x14ac:dyDescent="0.25">
      <c r="B3" s="20" t="s">
        <v>54</v>
      </c>
      <c r="C3" s="55"/>
      <c r="D3" s="55"/>
      <c r="E3" s="55"/>
      <c r="F3" s="55"/>
      <c r="G3" s="55"/>
      <c r="H3" s="55"/>
    </row>
    <row r="4" spans="2:8" x14ac:dyDescent="0.25">
      <c r="B4" s="20" t="s">
        <v>55</v>
      </c>
      <c r="C4" s="55"/>
      <c r="D4" s="55"/>
      <c r="E4" s="55"/>
      <c r="F4" s="55"/>
      <c r="G4" s="55"/>
      <c r="H4" s="55"/>
    </row>
    <row r="5" spans="2:8" x14ac:dyDescent="0.25">
      <c r="B5" s="20" t="s">
        <v>56</v>
      </c>
      <c r="C5" s="55"/>
      <c r="D5" s="55"/>
      <c r="E5" s="55"/>
      <c r="F5" s="55"/>
      <c r="G5" s="55"/>
      <c r="H5" s="55"/>
    </row>
    <row r="6" spans="2:8" x14ac:dyDescent="0.25">
      <c r="B6" s="20" t="s">
        <v>57</v>
      </c>
      <c r="C6" s="55">
        <v>5</v>
      </c>
      <c r="D6" s="56">
        <v>1</v>
      </c>
      <c r="E6" s="55">
        <f>12/4000</f>
        <v>3.0000000000000001E-3</v>
      </c>
      <c r="F6" s="55">
        <f>1.724/0.77</f>
        <v>2.238961038961039</v>
      </c>
      <c r="G6" s="55">
        <v>100</v>
      </c>
      <c r="H6" s="55"/>
    </row>
    <row r="7" spans="2:8" x14ac:dyDescent="0.25">
      <c r="B7" s="20" t="s">
        <v>58</v>
      </c>
      <c r="C7" s="55">
        <v>9.9470000000000003E-2</v>
      </c>
      <c r="D7" s="55"/>
      <c r="E7" s="55"/>
      <c r="F7" s="55"/>
      <c r="G7" s="55"/>
      <c r="H7" s="55"/>
    </row>
    <row r="8" spans="2:8" x14ac:dyDescent="0.25">
      <c r="B8" s="20" t="s">
        <v>59</v>
      </c>
      <c r="C8" s="56">
        <v>0.25</v>
      </c>
      <c r="D8" s="56">
        <v>2.5</v>
      </c>
      <c r="E8" s="55"/>
      <c r="F8" s="55"/>
      <c r="G8" s="55"/>
      <c r="H8" s="55"/>
    </row>
    <row r="9" spans="2:8" x14ac:dyDescent="0.25">
      <c r="B9" s="20" t="s">
        <v>60</v>
      </c>
      <c r="C9" s="55">
        <v>19.399999999999999</v>
      </c>
      <c r="D9" s="55">
        <v>0.36</v>
      </c>
      <c r="E9" s="55">
        <v>100</v>
      </c>
      <c r="F9" s="55">
        <v>2</v>
      </c>
      <c r="G9" s="55"/>
      <c r="H9" s="55"/>
    </row>
    <row r="10" spans="2:8" x14ac:dyDescent="0.25">
      <c r="B10" s="20" t="s">
        <v>61</v>
      </c>
      <c r="C10" s="55"/>
      <c r="D10" s="55"/>
      <c r="E10" s="55"/>
      <c r="F10" s="55"/>
      <c r="G10" s="55"/>
      <c r="H10" s="55"/>
    </row>
    <row r="11" spans="2:8" x14ac:dyDescent="0.25">
      <c r="B11" s="20" t="s">
        <v>62</v>
      </c>
      <c r="C11" s="55">
        <v>1.84</v>
      </c>
      <c r="D11" s="55">
        <v>0.48</v>
      </c>
      <c r="E11" s="55"/>
      <c r="F11" s="55"/>
      <c r="G11" s="55"/>
      <c r="H11" s="55"/>
    </row>
    <row r="12" spans="2:8" x14ac:dyDescent="0.25">
      <c r="B12" s="20" t="s">
        <v>63</v>
      </c>
      <c r="C12" s="55">
        <v>0.59499999999999997</v>
      </c>
      <c r="D12" s="55"/>
      <c r="E12" s="55"/>
      <c r="F12" s="55"/>
      <c r="G12" s="55"/>
      <c r="H12" s="55"/>
    </row>
    <row r="13" spans="2:8" x14ac:dyDescent="0.25">
      <c r="B13" s="20" t="s">
        <v>64</v>
      </c>
      <c r="C13" s="55"/>
      <c r="D13" s="55"/>
      <c r="E13" s="55"/>
      <c r="F13" s="55"/>
      <c r="G13" s="55"/>
      <c r="H13" s="55"/>
    </row>
    <row r="14" spans="2:8" x14ac:dyDescent="0.25">
      <c r="B14" s="20" t="s">
        <v>65</v>
      </c>
      <c r="C14" s="55">
        <v>1</v>
      </c>
      <c r="D14" s="55"/>
      <c r="E14" s="55"/>
      <c r="F14" s="55"/>
      <c r="G14" s="55"/>
      <c r="H14" s="55"/>
    </row>
    <row r="15" spans="2:8" x14ac:dyDescent="0.25">
      <c r="B15" s="20" t="s">
        <v>66</v>
      </c>
      <c r="C15" s="55">
        <v>1</v>
      </c>
      <c r="D15" s="55">
        <v>99.409000000000006</v>
      </c>
      <c r="E15" s="55">
        <v>9.4091000000000005</v>
      </c>
      <c r="F15" s="55"/>
      <c r="G15" s="55"/>
      <c r="H15" s="55"/>
    </row>
    <row r="16" spans="2:8" x14ac:dyDescent="0.25">
      <c r="B16" s="20" t="s">
        <v>67</v>
      </c>
      <c r="C16" s="55">
        <v>1</v>
      </c>
      <c r="D16" s="55">
        <v>1E-3</v>
      </c>
      <c r="E16" s="55">
        <v>0.49559999999999998</v>
      </c>
      <c r="F16" s="55"/>
      <c r="G16" s="55"/>
      <c r="H16" s="55"/>
    </row>
    <row r="17" spans="2:8" x14ac:dyDescent="0.25">
      <c r="B17" s="20" t="s">
        <v>68</v>
      </c>
      <c r="C17" s="55">
        <v>70</v>
      </c>
      <c r="D17" s="55">
        <v>23.3</v>
      </c>
      <c r="E17" s="55">
        <v>1.9099999999999999E-2</v>
      </c>
      <c r="F17" s="55">
        <v>5.0000000000000001E-4</v>
      </c>
      <c r="G17" s="55">
        <v>0.2147</v>
      </c>
      <c r="H17" s="55"/>
    </row>
    <row r="18" spans="2:8" x14ac:dyDescent="0.25">
      <c r="B18" s="54" t="s">
        <v>69</v>
      </c>
      <c r="C18" s="57">
        <v>1</v>
      </c>
      <c r="D18" s="57">
        <v>1</v>
      </c>
      <c r="E18" s="57">
        <v>1</v>
      </c>
      <c r="F18" s="57"/>
      <c r="G18" s="57"/>
      <c r="H18" s="57"/>
    </row>
    <row r="19" spans="2:8" x14ac:dyDescent="0.25">
      <c r="B19" s="20" t="s">
        <v>70</v>
      </c>
      <c r="C19" s="55"/>
      <c r="D19" s="55"/>
      <c r="E19" s="55"/>
      <c r="F19" s="55"/>
      <c r="G19" s="55"/>
      <c r="H19" s="55"/>
    </row>
    <row r="20" spans="2:8" x14ac:dyDescent="0.25">
      <c r="B20" s="20" t="s">
        <v>71</v>
      </c>
      <c r="C20" s="55"/>
      <c r="D20" s="55"/>
      <c r="E20" s="55"/>
      <c r="F20" s="55"/>
      <c r="G20" s="55"/>
      <c r="H20" s="55"/>
    </row>
    <row r="21" spans="2:8" x14ac:dyDescent="0.25">
      <c r="B21" s="20" t="s">
        <v>72</v>
      </c>
      <c r="C21" s="55"/>
      <c r="D21" s="55"/>
      <c r="E21" s="55"/>
      <c r="F21" s="55"/>
      <c r="G21" s="55"/>
      <c r="H21" s="55"/>
    </row>
    <row r="22" spans="2:8" x14ac:dyDescent="0.25">
      <c r="B22" s="20" t="s">
        <v>73</v>
      </c>
      <c r="C22" s="55">
        <v>48</v>
      </c>
      <c r="D22" s="55"/>
      <c r="E22" s="55"/>
      <c r="F22" s="55"/>
      <c r="G22" s="55"/>
      <c r="H22" s="55"/>
    </row>
    <row r="23" spans="2:8" x14ac:dyDescent="0.25">
      <c r="B23" s="20" t="s">
        <v>74</v>
      </c>
      <c r="C23" s="55">
        <v>2</v>
      </c>
      <c r="D23" s="55">
        <v>99.409000000000006</v>
      </c>
      <c r="E23" s="55">
        <v>9.4091000000000005</v>
      </c>
      <c r="F23" s="55"/>
      <c r="G23" s="55"/>
      <c r="H23" s="55"/>
    </row>
    <row r="24" spans="2:8" x14ac:dyDescent="0.25">
      <c r="B24" s="20" t="s">
        <v>75</v>
      </c>
      <c r="C24" s="55"/>
      <c r="D24" s="55"/>
      <c r="E24" s="55"/>
      <c r="F24" s="55"/>
      <c r="G24" s="55"/>
      <c r="H24" s="55"/>
    </row>
    <row r="25" spans="2:8" x14ac:dyDescent="0.25">
      <c r="B25" s="20" t="s">
        <v>76</v>
      </c>
      <c r="C25" s="55"/>
      <c r="D25" s="55"/>
      <c r="E25" s="55"/>
      <c r="F25" s="55"/>
      <c r="G25" s="55"/>
      <c r="H25" s="55"/>
    </row>
    <row r="26" spans="2:8" x14ac:dyDescent="0.25">
      <c r="B26" s="20" t="s">
        <v>77</v>
      </c>
      <c r="C26" s="55">
        <v>23</v>
      </c>
      <c r="D26" s="55">
        <v>1</v>
      </c>
      <c r="E26" s="55">
        <v>1</v>
      </c>
      <c r="F26" s="55"/>
      <c r="G26" s="55"/>
      <c r="H26" s="55"/>
    </row>
    <row r="27" spans="2:8" x14ac:dyDescent="0.25">
      <c r="B27" s="20" t="s">
        <v>78</v>
      </c>
      <c r="C27" s="55">
        <v>39</v>
      </c>
      <c r="D27" s="55">
        <v>1</v>
      </c>
      <c r="E27" s="55">
        <v>1</v>
      </c>
      <c r="F27" s="55"/>
      <c r="G27" s="55"/>
      <c r="H27" s="55"/>
    </row>
    <row r="28" spans="2:8" x14ac:dyDescent="0.25">
      <c r="B28" s="20" t="s">
        <v>79</v>
      </c>
      <c r="C28" s="55"/>
      <c r="D28" s="55"/>
      <c r="E28" s="55"/>
      <c r="F28" s="55"/>
      <c r="G28" s="55"/>
      <c r="H28" s="55"/>
    </row>
    <row r="29" spans="2:8" x14ac:dyDescent="0.25">
      <c r="B29" s="20" t="s">
        <v>80</v>
      </c>
      <c r="C29" s="55"/>
      <c r="D29" s="55"/>
      <c r="E29" s="55"/>
      <c r="F29" s="55"/>
      <c r="G29" s="55"/>
      <c r="H29" s="55"/>
    </row>
    <row r="30" spans="2:8" x14ac:dyDescent="0.25">
      <c r="B30" s="20" t="s">
        <v>81</v>
      </c>
      <c r="C30" s="55">
        <v>1</v>
      </c>
      <c r="D30" s="55">
        <v>1E-3</v>
      </c>
      <c r="E30" s="55">
        <v>0.49559999999999998</v>
      </c>
      <c r="F30" s="55"/>
      <c r="G30" s="55"/>
      <c r="H30" s="55"/>
    </row>
    <row r="31" spans="2:8" x14ac:dyDescent="0.25">
      <c r="B31" s="20" t="s">
        <v>82</v>
      </c>
      <c r="C31" s="55">
        <v>10</v>
      </c>
      <c r="D31" s="55">
        <v>3.33</v>
      </c>
      <c r="E31" s="55">
        <v>1.42</v>
      </c>
      <c r="F31" s="55">
        <v>1.9E-3</v>
      </c>
      <c r="G31" s="55">
        <v>0.2147</v>
      </c>
      <c r="H31" s="55"/>
    </row>
    <row r="32" spans="2:8" x14ac:dyDescent="0.25">
      <c r="B32" s="20" t="s">
        <v>83</v>
      </c>
      <c r="C32" s="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13.7109375" bestFit="1" customWidth="1"/>
    <col min="2" max="2" width="13.7109375" customWidth="1"/>
    <col min="3" max="3" width="11.85546875" customWidth="1"/>
    <col min="5" max="5" width="4.140625" customWidth="1"/>
    <col min="6" max="6" width="3.42578125" customWidth="1"/>
    <col min="8" max="8" width="14.5703125" customWidth="1"/>
    <col min="9" max="9" width="16.140625" customWidth="1"/>
    <col min="257" max="257" width="13.7109375" bestFit="1" customWidth="1"/>
    <col min="258" max="258" width="13.7109375" customWidth="1"/>
    <col min="259" max="259" width="11.85546875" customWidth="1"/>
    <col min="261" max="261" width="4.140625" customWidth="1"/>
    <col min="262" max="262" width="3.42578125" customWidth="1"/>
    <col min="264" max="264" width="14.5703125" customWidth="1"/>
    <col min="265" max="265" width="16.140625" customWidth="1"/>
    <col min="513" max="513" width="13.7109375" bestFit="1" customWidth="1"/>
    <col min="514" max="514" width="13.7109375" customWidth="1"/>
    <col min="515" max="515" width="11.85546875" customWidth="1"/>
    <col min="517" max="517" width="4.140625" customWidth="1"/>
    <col min="518" max="518" width="3.42578125" customWidth="1"/>
    <col min="520" max="520" width="14.5703125" customWidth="1"/>
    <col min="521" max="521" width="16.140625" customWidth="1"/>
    <col min="769" max="769" width="13.7109375" bestFit="1" customWidth="1"/>
    <col min="770" max="770" width="13.7109375" customWidth="1"/>
    <col min="771" max="771" width="11.85546875" customWidth="1"/>
    <col min="773" max="773" width="4.140625" customWidth="1"/>
    <col min="774" max="774" width="3.42578125" customWidth="1"/>
    <col min="776" max="776" width="14.5703125" customWidth="1"/>
    <col min="777" max="777" width="16.140625" customWidth="1"/>
    <col min="1025" max="1025" width="13.7109375" bestFit="1" customWidth="1"/>
    <col min="1026" max="1026" width="13.7109375" customWidth="1"/>
    <col min="1027" max="1027" width="11.85546875" customWidth="1"/>
    <col min="1029" max="1029" width="4.140625" customWidth="1"/>
    <col min="1030" max="1030" width="3.42578125" customWidth="1"/>
    <col min="1032" max="1032" width="14.5703125" customWidth="1"/>
    <col min="1033" max="1033" width="16.140625" customWidth="1"/>
    <col min="1281" max="1281" width="13.7109375" bestFit="1" customWidth="1"/>
    <col min="1282" max="1282" width="13.7109375" customWidth="1"/>
    <col min="1283" max="1283" width="11.85546875" customWidth="1"/>
    <col min="1285" max="1285" width="4.140625" customWidth="1"/>
    <col min="1286" max="1286" width="3.42578125" customWidth="1"/>
    <col min="1288" max="1288" width="14.5703125" customWidth="1"/>
    <col min="1289" max="1289" width="16.140625" customWidth="1"/>
    <col min="1537" max="1537" width="13.7109375" bestFit="1" customWidth="1"/>
    <col min="1538" max="1538" width="13.7109375" customWidth="1"/>
    <col min="1539" max="1539" width="11.85546875" customWidth="1"/>
    <col min="1541" max="1541" width="4.140625" customWidth="1"/>
    <col min="1542" max="1542" width="3.42578125" customWidth="1"/>
    <col min="1544" max="1544" width="14.5703125" customWidth="1"/>
    <col min="1545" max="1545" width="16.140625" customWidth="1"/>
    <col min="1793" max="1793" width="13.7109375" bestFit="1" customWidth="1"/>
    <col min="1794" max="1794" width="13.7109375" customWidth="1"/>
    <col min="1795" max="1795" width="11.85546875" customWidth="1"/>
    <col min="1797" max="1797" width="4.140625" customWidth="1"/>
    <col min="1798" max="1798" width="3.42578125" customWidth="1"/>
    <col min="1800" max="1800" width="14.5703125" customWidth="1"/>
    <col min="1801" max="1801" width="16.140625" customWidth="1"/>
    <col min="2049" max="2049" width="13.7109375" bestFit="1" customWidth="1"/>
    <col min="2050" max="2050" width="13.7109375" customWidth="1"/>
    <col min="2051" max="2051" width="11.85546875" customWidth="1"/>
    <col min="2053" max="2053" width="4.140625" customWidth="1"/>
    <col min="2054" max="2054" width="3.42578125" customWidth="1"/>
    <col min="2056" max="2056" width="14.5703125" customWidth="1"/>
    <col min="2057" max="2057" width="16.140625" customWidth="1"/>
    <col min="2305" max="2305" width="13.7109375" bestFit="1" customWidth="1"/>
    <col min="2306" max="2306" width="13.7109375" customWidth="1"/>
    <col min="2307" max="2307" width="11.85546875" customWidth="1"/>
    <col min="2309" max="2309" width="4.140625" customWidth="1"/>
    <col min="2310" max="2310" width="3.42578125" customWidth="1"/>
    <col min="2312" max="2312" width="14.5703125" customWidth="1"/>
    <col min="2313" max="2313" width="16.140625" customWidth="1"/>
    <col min="2561" max="2561" width="13.7109375" bestFit="1" customWidth="1"/>
    <col min="2562" max="2562" width="13.7109375" customWidth="1"/>
    <col min="2563" max="2563" width="11.85546875" customWidth="1"/>
    <col min="2565" max="2565" width="4.140625" customWidth="1"/>
    <col min="2566" max="2566" width="3.42578125" customWidth="1"/>
    <col min="2568" max="2568" width="14.5703125" customWidth="1"/>
    <col min="2569" max="2569" width="16.140625" customWidth="1"/>
    <col min="2817" max="2817" width="13.7109375" bestFit="1" customWidth="1"/>
    <col min="2818" max="2818" width="13.7109375" customWidth="1"/>
    <col min="2819" max="2819" width="11.85546875" customWidth="1"/>
    <col min="2821" max="2821" width="4.140625" customWidth="1"/>
    <col min="2822" max="2822" width="3.42578125" customWidth="1"/>
    <col min="2824" max="2824" width="14.5703125" customWidth="1"/>
    <col min="2825" max="2825" width="16.140625" customWidth="1"/>
    <col min="3073" max="3073" width="13.7109375" bestFit="1" customWidth="1"/>
    <col min="3074" max="3074" width="13.7109375" customWidth="1"/>
    <col min="3075" max="3075" width="11.85546875" customWidth="1"/>
    <col min="3077" max="3077" width="4.140625" customWidth="1"/>
    <col min="3078" max="3078" width="3.42578125" customWidth="1"/>
    <col min="3080" max="3080" width="14.5703125" customWidth="1"/>
    <col min="3081" max="3081" width="16.140625" customWidth="1"/>
    <col min="3329" max="3329" width="13.7109375" bestFit="1" customWidth="1"/>
    <col min="3330" max="3330" width="13.7109375" customWidth="1"/>
    <col min="3331" max="3331" width="11.85546875" customWidth="1"/>
    <col min="3333" max="3333" width="4.140625" customWidth="1"/>
    <col min="3334" max="3334" width="3.42578125" customWidth="1"/>
    <col min="3336" max="3336" width="14.5703125" customWidth="1"/>
    <col min="3337" max="3337" width="16.140625" customWidth="1"/>
    <col min="3585" max="3585" width="13.7109375" bestFit="1" customWidth="1"/>
    <col min="3586" max="3586" width="13.7109375" customWidth="1"/>
    <col min="3587" max="3587" width="11.85546875" customWidth="1"/>
    <col min="3589" max="3589" width="4.140625" customWidth="1"/>
    <col min="3590" max="3590" width="3.42578125" customWidth="1"/>
    <col min="3592" max="3592" width="14.5703125" customWidth="1"/>
    <col min="3593" max="3593" width="16.140625" customWidth="1"/>
    <col min="3841" max="3841" width="13.7109375" bestFit="1" customWidth="1"/>
    <col min="3842" max="3842" width="13.7109375" customWidth="1"/>
    <col min="3843" max="3843" width="11.85546875" customWidth="1"/>
    <col min="3845" max="3845" width="4.140625" customWidth="1"/>
    <col min="3846" max="3846" width="3.42578125" customWidth="1"/>
    <col min="3848" max="3848" width="14.5703125" customWidth="1"/>
    <col min="3849" max="3849" width="16.140625" customWidth="1"/>
    <col min="4097" max="4097" width="13.7109375" bestFit="1" customWidth="1"/>
    <col min="4098" max="4098" width="13.7109375" customWidth="1"/>
    <col min="4099" max="4099" width="11.85546875" customWidth="1"/>
    <col min="4101" max="4101" width="4.140625" customWidth="1"/>
    <col min="4102" max="4102" width="3.42578125" customWidth="1"/>
    <col min="4104" max="4104" width="14.5703125" customWidth="1"/>
    <col min="4105" max="4105" width="16.140625" customWidth="1"/>
    <col min="4353" max="4353" width="13.7109375" bestFit="1" customWidth="1"/>
    <col min="4354" max="4354" width="13.7109375" customWidth="1"/>
    <col min="4355" max="4355" width="11.85546875" customWidth="1"/>
    <col min="4357" max="4357" width="4.140625" customWidth="1"/>
    <col min="4358" max="4358" width="3.42578125" customWidth="1"/>
    <col min="4360" max="4360" width="14.5703125" customWidth="1"/>
    <col min="4361" max="4361" width="16.140625" customWidth="1"/>
    <col min="4609" max="4609" width="13.7109375" bestFit="1" customWidth="1"/>
    <col min="4610" max="4610" width="13.7109375" customWidth="1"/>
    <col min="4611" max="4611" width="11.85546875" customWidth="1"/>
    <col min="4613" max="4613" width="4.140625" customWidth="1"/>
    <col min="4614" max="4614" width="3.42578125" customWidth="1"/>
    <col min="4616" max="4616" width="14.5703125" customWidth="1"/>
    <col min="4617" max="4617" width="16.140625" customWidth="1"/>
    <col min="4865" max="4865" width="13.7109375" bestFit="1" customWidth="1"/>
    <col min="4866" max="4866" width="13.7109375" customWidth="1"/>
    <col min="4867" max="4867" width="11.85546875" customWidth="1"/>
    <col min="4869" max="4869" width="4.140625" customWidth="1"/>
    <col min="4870" max="4870" width="3.42578125" customWidth="1"/>
    <col min="4872" max="4872" width="14.5703125" customWidth="1"/>
    <col min="4873" max="4873" width="16.140625" customWidth="1"/>
    <col min="5121" max="5121" width="13.7109375" bestFit="1" customWidth="1"/>
    <col min="5122" max="5122" width="13.7109375" customWidth="1"/>
    <col min="5123" max="5123" width="11.85546875" customWidth="1"/>
    <col min="5125" max="5125" width="4.140625" customWidth="1"/>
    <col min="5126" max="5126" width="3.42578125" customWidth="1"/>
    <col min="5128" max="5128" width="14.5703125" customWidth="1"/>
    <col min="5129" max="5129" width="16.140625" customWidth="1"/>
    <col min="5377" max="5377" width="13.7109375" bestFit="1" customWidth="1"/>
    <col min="5378" max="5378" width="13.7109375" customWidth="1"/>
    <col min="5379" max="5379" width="11.85546875" customWidth="1"/>
    <col min="5381" max="5381" width="4.140625" customWidth="1"/>
    <col min="5382" max="5382" width="3.42578125" customWidth="1"/>
    <col min="5384" max="5384" width="14.5703125" customWidth="1"/>
    <col min="5385" max="5385" width="16.140625" customWidth="1"/>
    <col min="5633" max="5633" width="13.7109375" bestFit="1" customWidth="1"/>
    <col min="5634" max="5634" width="13.7109375" customWidth="1"/>
    <col min="5635" max="5635" width="11.85546875" customWidth="1"/>
    <col min="5637" max="5637" width="4.140625" customWidth="1"/>
    <col min="5638" max="5638" width="3.42578125" customWidth="1"/>
    <col min="5640" max="5640" width="14.5703125" customWidth="1"/>
    <col min="5641" max="5641" width="16.140625" customWidth="1"/>
    <col min="5889" max="5889" width="13.7109375" bestFit="1" customWidth="1"/>
    <col min="5890" max="5890" width="13.7109375" customWidth="1"/>
    <col min="5891" max="5891" width="11.85546875" customWidth="1"/>
    <col min="5893" max="5893" width="4.140625" customWidth="1"/>
    <col min="5894" max="5894" width="3.42578125" customWidth="1"/>
    <col min="5896" max="5896" width="14.5703125" customWidth="1"/>
    <col min="5897" max="5897" width="16.140625" customWidth="1"/>
    <col min="6145" max="6145" width="13.7109375" bestFit="1" customWidth="1"/>
    <col min="6146" max="6146" width="13.7109375" customWidth="1"/>
    <col min="6147" max="6147" width="11.85546875" customWidth="1"/>
    <col min="6149" max="6149" width="4.140625" customWidth="1"/>
    <col min="6150" max="6150" width="3.42578125" customWidth="1"/>
    <col min="6152" max="6152" width="14.5703125" customWidth="1"/>
    <col min="6153" max="6153" width="16.140625" customWidth="1"/>
    <col min="6401" max="6401" width="13.7109375" bestFit="1" customWidth="1"/>
    <col min="6402" max="6402" width="13.7109375" customWidth="1"/>
    <col min="6403" max="6403" width="11.85546875" customWidth="1"/>
    <col min="6405" max="6405" width="4.140625" customWidth="1"/>
    <col min="6406" max="6406" width="3.42578125" customWidth="1"/>
    <col min="6408" max="6408" width="14.5703125" customWidth="1"/>
    <col min="6409" max="6409" width="16.140625" customWidth="1"/>
    <col min="6657" max="6657" width="13.7109375" bestFit="1" customWidth="1"/>
    <col min="6658" max="6658" width="13.7109375" customWidth="1"/>
    <col min="6659" max="6659" width="11.85546875" customWidth="1"/>
    <col min="6661" max="6661" width="4.140625" customWidth="1"/>
    <col min="6662" max="6662" width="3.42578125" customWidth="1"/>
    <col min="6664" max="6664" width="14.5703125" customWidth="1"/>
    <col min="6665" max="6665" width="16.140625" customWidth="1"/>
    <col min="6913" max="6913" width="13.7109375" bestFit="1" customWidth="1"/>
    <col min="6914" max="6914" width="13.7109375" customWidth="1"/>
    <col min="6915" max="6915" width="11.85546875" customWidth="1"/>
    <col min="6917" max="6917" width="4.140625" customWidth="1"/>
    <col min="6918" max="6918" width="3.42578125" customWidth="1"/>
    <col min="6920" max="6920" width="14.5703125" customWidth="1"/>
    <col min="6921" max="6921" width="16.140625" customWidth="1"/>
    <col min="7169" max="7169" width="13.7109375" bestFit="1" customWidth="1"/>
    <col min="7170" max="7170" width="13.7109375" customWidth="1"/>
    <col min="7171" max="7171" width="11.85546875" customWidth="1"/>
    <col min="7173" max="7173" width="4.140625" customWidth="1"/>
    <col min="7174" max="7174" width="3.42578125" customWidth="1"/>
    <col min="7176" max="7176" width="14.5703125" customWidth="1"/>
    <col min="7177" max="7177" width="16.140625" customWidth="1"/>
    <col min="7425" max="7425" width="13.7109375" bestFit="1" customWidth="1"/>
    <col min="7426" max="7426" width="13.7109375" customWidth="1"/>
    <col min="7427" max="7427" width="11.85546875" customWidth="1"/>
    <col min="7429" max="7429" width="4.140625" customWidth="1"/>
    <col min="7430" max="7430" width="3.42578125" customWidth="1"/>
    <col min="7432" max="7432" width="14.5703125" customWidth="1"/>
    <col min="7433" max="7433" width="16.140625" customWidth="1"/>
    <col min="7681" max="7681" width="13.7109375" bestFit="1" customWidth="1"/>
    <col min="7682" max="7682" width="13.7109375" customWidth="1"/>
    <col min="7683" max="7683" width="11.85546875" customWidth="1"/>
    <col min="7685" max="7685" width="4.140625" customWidth="1"/>
    <col min="7686" max="7686" width="3.42578125" customWidth="1"/>
    <col min="7688" max="7688" width="14.5703125" customWidth="1"/>
    <col min="7689" max="7689" width="16.140625" customWidth="1"/>
    <col min="7937" max="7937" width="13.7109375" bestFit="1" customWidth="1"/>
    <col min="7938" max="7938" width="13.7109375" customWidth="1"/>
    <col min="7939" max="7939" width="11.85546875" customWidth="1"/>
    <col min="7941" max="7941" width="4.140625" customWidth="1"/>
    <col min="7942" max="7942" width="3.42578125" customWidth="1"/>
    <col min="7944" max="7944" width="14.5703125" customWidth="1"/>
    <col min="7945" max="7945" width="16.140625" customWidth="1"/>
    <col min="8193" max="8193" width="13.7109375" bestFit="1" customWidth="1"/>
    <col min="8194" max="8194" width="13.7109375" customWidth="1"/>
    <col min="8195" max="8195" width="11.85546875" customWidth="1"/>
    <col min="8197" max="8197" width="4.140625" customWidth="1"/>
    <col min="8198" max="8198" width="3.42578125" customWidth="1"/>
    <col min="8200" max="8200" width="14.5703125" customWidth="1"/>
    <col min="8201" max="8201" width="16.140625" customWidth="1"/>
    <col min="8449" max="8449" width="13.7109375" bestFit="1" customWidth="1"/>
    <col min="8450" max="8450" width="13.7109375" customWidth="1"/>
    <col min="8451" max="8451" width="11.85546875" customWidth="1"/>
    <col min="8453" max="8453" width="4.140625" customWidth="1"/>
    <col min="8454" max="8454" width="3.42578125" customWidth="1"/>
    <col min="8456" max="8456" width="14.5703125" customWidth="1"/>
    <col min="8457" max="8457" width="16.140625" customWidth="1"/>
    <col min="8705" max="8705" width="13.7109375" bestFit="1" customWidth="1"/>
    <col min="8706" max="8706" width="13.7109375" customWidth="1"/>
    <col min="8707" max="8707" width="11.85546875" customWidth="1"/>
    <col min="8709" max="8709" width="4.140625" customWidth="1"/>
    <col min="8710" max="8710" width="3.42578125" customWidth="1"/>
    <col min="8712" max="8712" width="14.5703125" customWidth="1"/>
    <col min="8713" max="8713" width="16.140625" customWidth="1"/>
    <col min="8961" max="8961" width="13.7109375" bestFit="1" customWidth="1"/>
    <col min="8962" max="8962" width="13.7109375" customWidth="1"/>
    <col min="8963" max="8963" width="11.85546875" customWidth="1"/>
    <col min="8965" max="8965" width="4.140625" customWidth="1"/>
    <col min="8966" max="8966" width="3.42578125" customWidth="1"/>
    <col min="8968" max="8968" width="14.5703125" customWidth="1"/>
    <col min="8969" max="8969" width="16.140625" customWidth="1"/>
    <col min="9217" max="9217" width="13.7109375" bestFit="1" customWidth="1"/>
    <col min="9218" max="9218" width="13.7109375" customWidth="1"/>
    <col min="9219" max="9219" width="11.85546875" customWidth="1"/>
    <col min="9221" max="9221" width="4.140625" customWidth="1"/>
    <col min="9222" max="9222" width="3.42578125" customWidth="1"/>
    <col min="9224" max="9224" width="14.5703125" customWidth="1"/>
    <col min="9225" max="9225" width="16.140625" customWidth="1"/>
    <col min="9473" max="9473" width="13.7109375" bestFit="1" customWidth="1"/>
    <col min="9474" max="9474" width="13.7109375" customWidth="1"/>
    <col min="9475" max="9475" width="11.85546875" customWidth="1"/>
    <col min="9477" max="9477" width="4.140625" customWidth="1"/>
    <col min="9478" max="9478" width="3.42578125" customWidth="1"/>
    <col min="9480" max="9480" width="14.5703125" customWidth="1"/>
    <col min="9481" max="9481" width="16.140625" customWidth="1"/>
    <col min="9729" max="9729" width="13.7109375" bestFit="1" customWidth="1"/>
    <col min="9730" max="9730" width="13.7109375" customWidth="1"/>
    <col min="9731" max="9731" width="11.85546875" customWidth="1"/>
    <col min="9733" max="9733" width="4.140625" customWidth="1"/>
    <col min="9734" max="9734" width="3.42578125" customWidth="1"/>
    <col min="9736" max="9736" width="14.5703125" customWidth="1"/>
    <col min="9737" max="9737" width="16.140625" customWidth="1"/>
    <col min="9985" max="9985" width="13.7109375" bestFit="1" customWidth="1"/>
    <col min="9986" max="9986" width="13.7109375" customWidth="1"/>
    <col min="9987" max="9987" width="11.85546875" customWidth="1"/>
    <col min="9989" max="9989" width="4.140625" customWidth="1"/>
    <col min="9990" max="9990" width="3.42578125" customWidth="1"/>
    <col min="9992" max="9992" width="14.5703125" customWidth="1"/>
    <col min="9993" max="9993" width="16.140625" customWidth="1"/>
    <col min="10241" max="10241" width="13.7109375" bestFit="1" customWidth="1"/>
    <col min="10242" max="10242" width="13.7109375" customWidth="1"/>
    <col min="10243" max="10243" width="11.85546875" customWidth="1"/>
    <col min="10245" max="10245" width="4.140625" customWidth="1"/>
    <col min="10246" max="10246" width="3.42578125" customWidth="1"/>
    <col min="10248" max="10248" width="14.5703125" customWidth="1"/>
    <col min="10249" max="10249" width="16.140625" customWidth="1"/>
    <col min="10497" max="10497" width="13.7109375" bestFit="1" customWidth="1"/>
    <col min="10498" max="10498" width="13.7109375" customWidth="1"/>
    <col min="10499" max="10499" width="11.85546875" customWidth="1"/>
    <col min="10501" max="10501" width="4.140625" customWidth="1"/>
    <col min="10502" max="10502" width="3.42578125" customWidth="1"/>
    <col min="10504" max="10504" width="14.5703125" customWidth="1"/>
    <col min="10505" max="10505" width="16.140625" customWidth="1"/>
    <col min="10753" max="10753" width="13.7109375" bestFit="1" customWidth="1"/>
    <col min="10754" max="10754" width="13.7109375" customWidth="1"/>
    <col min="10755" max="10755" width="11.85546875" customWidth="1"/>
    <col min="10757" max="10757" width="4.140625" customWidth="1"/>
    <col min="10758" max="10758" width="3.42578125" customWidth="1"/>
    <col min="10760" max="10760" width="14.5703125" customWidth="1"/>
    <col min="10761" max="10761" width="16.140625" customWidth="1"/>
    <col min="11009" max="11009" width="13.7109375" bestFit="1" customWidth="1"/>
    <col min="11010" max="11010" width="13.7109375" customWidth="1"/>
    <col min="11011" max="11011" width="11.85546875" customWidth="1"/>
    <col min="11013" max="11013" width="4.140625" customWidth="1"/>
    <col min="11014" max="11014" width="3.42578125" customWidth="1"/>
    <col min="11016" max="11016" width="14.5703125" customWidth="1"/>
    <col min="11017" max="11017" width="16.140625" customWidth="1"/>
    <col min="11265" max="11265" width="13.7109375" bestFit="1" customWidth="1"/>
    <col min="11266" max="11266" width="13.7109375" customWidth="1"/>
    <col min="11267" max="11267" width="11.85546875" customWidth="1"/>
    <col min="11269" max="11269" width="4.140625" customWidth="1"/>
    <col min="11270" max="11270" width="3.42578125" customWidth="1"/>
    <col min="11272" max="11272" width="14.5703125" customWidth="1"/>
    <col min="11273" max="11273" width="16.140625" customWidth="1"/>
    <col min="11521" max="11521" width="13.7109375" bestFit="1" customWidth="1"/>
    <col min="11522" max="11522" width="13.7109375" customWidth="1"/>
    <col min="11523" max="11523" width="11.85546875" customWidth="1"/>
    <col min="11525" max="11525" width="4.140625" customWidth="1"/>
    <col min="11526" max="11526" width="3.42578125" customWidth="1"/>
    <col min="11528" max="11528" width="14.5703125" customWidth="1"/>
    <col min="11529" max="11529" width="16.140625" customWidth="1"/>
    <col min="11777" max="11777" width="13.7109375" bestFit="1" customWidth="1"/>
    <col min="11778" max="11778" width="13.7109375" customWidth="1"/>
    <col min="11779" max="11779" width="11.85546875" customWidth="1"/>
    <col min="11781" max="11781" width="4.140625" customWidth="1"/>
    <col min="11782" max="11782" width="3.42578125" customWidth="1"/>
    <col min="11784" max="11784" width="14.5703125" customWidth="1"/>
    <col min="11785" max="11785" width="16.140625" customWidth="1"/>
    <col min="12033" max="12033" width="13.7109375" bestFit="1" customWidth="1"/>
    <col min="12034" max="12034" width="13.7109375" customWidth="1"/>
    <col min="12035" max="12035" width="11.85546875" customWidth="1"/>
    <col min="12037" max="12037" width="4.140625" customWidth="1"/>
    <col min="12038" max="12038" width="3.42578125" customWidth="1"/>
    <col min="12040" max="12040" width="14.5703125" customWidth="1"/>
    <col min="12041" max="12041" width="16.140625" customWidth="1"/>
    <col min="12289" max="12289" width="13.7109375" bestFit="1" customWidth="1"/>
    <col min="12290" max="12290" width="13.7109375" customWidth="1"/>
    <col min="12291" max="12291" width="11.85546875" customWidth="1"/>
    <col min="12293" max="12293" width="4.140625" customWidth="1"/>
    <col min="12294" max="12294" width="3.42578125" customWidth="1"/>
    <col min="12296" max="12296" width="14.5703125" customWidth="1"/>
    <col min="12297" max="12297" width="16.140625" customWidth="1"/>
    <col min="12545" max="12545" width="13.7109375" bestFit="1" customWidth="1"/>
    <col min="12546" max="12546" width="13.7109375" customWidth="1"/>
    <col min="12547" max="12547" width="11.85546875" customWidth="1"/>
    <col min="12549" max="12549" width="4.140625" customWidth="1"/>
    <col min="12550" max="12550" width="3.42578125" customWidth="1"/>
    <col min="12552" max="12552" width="14.5703125" customWidth="1"/>
    <col min="12553" max="12553" width="16.140625" customWidth="1"/>
    <col min="12801" max="12801" width="13.7109375" bestFit="1" customWidth="1"/>
    <col min="12802" max="12802" width="13.7109375" customWidth="1"/>
    <col min="12803" max="12803" width="11.85546875" customWidth="1"/>
    <col min="12805" max="12805" width="4.140625" customWidth="1"/>
    <col min="12806" max="12806" width="3.42578125" customWidth="1"/>
    <col min="12808" max="12808" width="14.5703125" customWidth="1"/>
    <col min="12809" max="12809" width="16.140625" customWidth="1"/>
    <col min="13057" max="13057" width="13.7109375" bestFit="1" customWidth="1"/>
    <col min="13058" max="13058" width="13.7109375" customWidth="1"/>
    <col min="13059" max="13059" width="11.85546875" customWidth="1"/>
    <col min="13061" max="13061" width="4.140625" customWidth="1"/>
    <col min="13062" max="13062" width="3.42578125" customWidth="1"/>
    <col min="13064" max="13064" width="14.5703125" customWidth="1"/>
    <col min="13065" max="13065" width="16.140625" customWidth="1"/>
    <col min="13313" max="13313" width="13.7109375" bestFit="1" customWidth="1"/>
    <col min="13314" max="13314" width="13.7109375" customWidth="1"/>
    <col min="13315" max="13315" width="11.85546875" customWidth="1"/>
    <col min="13317" max="13317" width="4.140625" customWidth="1"/>
    <col min="13318" max="13318" width="3.42578125" customWidth="1"/>
    <col min="13320" max="13320" width="14.5703125" customWidth="1"/>
    <col min="13321" max="13321" width="16.140625" customWidth="1"/>
    <col min="13569" max="13569" width="13.7109375" bestFit="1" customWidth="1"/>
    <col min="13570" max="13570" width="13.7109375" customWidth="1"/>
    <col min="13571" max="13571" width="11.85546875" customWidth="1"/>
    <col min="13573" max="13573" width="4.140625" customWidth="1"/>
    <col min="13574" max="13574" width="3.42578125" customWidth="1"/>
    <col min="13576" max="13576" width="14.5703125" customWidth="1"/>
    <col min="13577" max="13577" width="16.140625" customWidth="1"/>
    <col min="13825" max="13825" width="13.7109375" bestFit="1" customWidth="1"/>
    <col min="13826" max="13826" width="13.7109375" customWidth="1"/>
    <col min="13827" max="13827" width="11.85546875" customWidth="1"/>
    <col min="13829" max="13829" width="4.140625" customWidth="1"/>
    <col min="13830" max="13830" width="3.42578125" customWidth="1"/>
    <col min="13832" max="13832" width="14.5703125" customWidth="1"/>
    <col min="13833" max="13833" width="16.140625" customWidth="1"/>
    <col min="14081" max="14081" width="13.7109375" bestFit="1" customWidth="1"/>
    <col min="14082" max="14082" width="13.7109375" customWidth="1"/>
    <col min="14083" max="14083" width="11.85546875" customWidth="1"/>
    <col min="14085" max="14085" width="4.140625" customWidth="1"/>
    <col min="14086" max="14086" width="3.42578125" customWidth="1"/>
    <col min="14088" max="14088" width="14.5703125" customWidth="1"/>
    <col min="14089" max="14089" width="16.140625" customWidth="1"/>
    <col min="14337" max="14337" width="13.7109375" bestFit="1" customWidth="1"/>
    <col min="14338" max="14338" width="13.7109375" customWidth="1"/>
    <col min="14339" max="14339" width="11.85546875" customWidth="1"/>
    <col min="14341" max="14341" width="4.140625" customWidth="1"/>
    <col min="14342" max="14342" width="3.42578125" customWidth="1"/>
    <col min="14344" max="14344" width="14.5703125" customWidth="1"/>
    <col min="14345" max="14345" width="16.140625" customWidth="1"/>
    <col min="14593" max="14593" width="13.7109375" bestFit="1" customWidth="1"/>
    <col min="14594" max="14594" width="13.7109375" customWidth="1"/>
    <col min="14595" max="14595" width="11.85546875" customWidth="1"/>
    <col min="14597" max="14597" width="4.140625" customWidth="1"/>
    <col min="14598" max="14598" width="3.42578125" customWidth="1"/>
    <col min="14600" max="14600" width="14.5703125" customWidth="1"/>
    <col min="14601" max="14601" width="16.140625" customWidth="1"/>
    <col min="14849" max="14849" width="13.7109375" bestFit="1" customWidth="1"/>
    <col min="14850" max="14850" width="13.7109375" customWidth="1"/>
    <col min="14851" max="14851" width="11.85546875" customWidth="1"/>
    <col min="14853" max="14853" width="4.140625" customWidth="1"/>
    <col min="14854" max="14854" width="3.42578125" customWidth="1"/>
    <col min="14856" max="14856" width="14.5703125" customWidth="1"/>
    <col min="14857" max="14857" width="16.140625" customWidth="1"/>
    <col min="15105" max="15105" width="13.7109375" bestFit="1" customWidth="1"/>
    <col min="15106" max="15106" width="13.7109375" customWidth="1"/>
    <col min="15107" max="15107" width="11.85546875" customWidth="1"/>
    <col min="15109" max="15109" width="4.140625" customWidth="1"/>
    <col min="15110" max="15110" width="3.42578125" customWidth="1"/>
    <col min="15112" max="15112" width="14.5703125" customWidth="1"/>
    <col min="15113" max="15113" width="16.140625" customWidth="1"/>
    <col min="15361" max="15361" width="13.7109375" bestFit="1" customWidth="1"/>
    <col min="15362" max="15362" width="13.7109375" customWidth="1"/>
    <col min="15363" max="15363" width="11.85546875" customWidth="1"/>
    <col min="15365" max="15365" width="4.140625" customWidth="1"/>
    <col min="15366" max="15366" width="3.42578125" customWidth="1"/>
    <col min="15368" max="15368" width="14.5703125" customWidth="1"/>
    <col min="15369" max="15369" width="16.140625" customWidth="1"/>
    <col min="15617" max="15617" width="13.7109375" bestFit="1" customWidth="1"/>
    <col min="15618" max="15618" width="13.7109375" customWidth="1"/>
    <col min="15619" max="15619" width="11.85546875" customWidth="1"/>
    <col min="15621" max="15621" width="4.140625" customWidth="1"/>
    <col min="15622" max="15622" width="3.42578125" customWidth="1"/>
    <col min="15624" max="15624" width="14.5703125" customWidth="1"/>
    <col min="15625" max="15625" width="16.140625" customWidth="1"/>
    <col min="15873" max="15873" width="13.7109375" bestFit="1" customWidth="1"/>
    <col min="15874" max="15874" width="13.7109375" customWidth="1"/>
    <col min="15875" max="15875" width="11.85546875" customWidth="1"/>
    <col min="15877" max="15877" width="4.140625" customWidth="1"/>
    <col min="15878" max="15878" width="3.42578125" customWidth="1"/>
    <col min="15880" max="15880" width="14.5703125" customWidth="1"/>
    <col min="15881" max="15881" width="16.140625" customWidth="1"/>
    <col min="16129" max="16129" width="13.7109375" bestFit="1" customWidth="1"/>
    <col min="16130" max="16130" width="13.7109375" customWidth="1"/>
    <col min="16131" max="16131" width="11.85546875" customWidth="1"/>
    <col min="16133" max="16133" width="4.140625" customWidth="1"/>
    <col min="16134" max="16134" width="3.42578125" customWidth="1"/>
    <col min="16136" max="16136" width="14.5703125" customWidth="1"/>
    <col min="16137" max="16137" width="16.140625" customWidth="1"/>
  </cols>
  <sheetData>
    <row r="1" spans="1:10" ht="30" x14ac:dyDescent="0.25">
      <c r="A1" s="58" t="s">
        <v>84</v>
      </c>
      <c r="B1" s="59" t="s">
        <v>85</v>
      </c>
      <c r="C1" s="60" t="s">
        <v>86</v>
      </c>
      <c r="D1" s="34" t="s">
        <v>87</v>
      </c>
    </row>
    <row r="2" spans="1:10" ht="15" customHeight="1" x14ac:dyDescent="0.25">
      <c r="A2" s="23">
        <v>4</v>
      </c>
      <c r="B2" s="24">
        <f t="shared" ref="B2:B65" si="0">(-LOG(A2/100))</f>
        <v>1.3979400086720375</v>
      </c>
      <c r="C2" s="21">
        <f>((B2-$G$15)/$G$16)</f>
        <v>2.3146786094632827</v>
      </c>
      <c r="D2" s="55">
        <f>C2*400</f>
        <v>925.87144378531309</v>
      </c>
      <c r="G2" s="134" t="s">
        <v>88</v>
      </c>
      <c r="H2" s="134" t="s">
        <v>89</v>
      </c>
      <c r="I2" s="134" t="s">
        <v>90</v>
      </c>
      <c r="J2" s="135" t="s">
        <v>91</v>
      </c>
    </row>
    <row r="3" spans="1:10" x14ac:dyDescent="0.25">
      <c r="A3" s="26">
        <v>4.5</v>
      </c>
      <c r="B3" s="24">
        <f t="shared" si="0"/>
        <v>1.3467874862246563</v>
      </c>
      <c r="C3" s="21">
        <f t="shared" ref="C3:C66" si="1">((B3-$G$15)/$G$16)</f>
        <v>2.2299328797625186</v>
      </c>
      <c r="D3" s="55">
        <f t="shared" ref="D3:D66" si="2">C3*400</f>
        <v>891.9731519050074</v>
      </c>
      <c r="G3" s="134"/>
      <c r="H3" s="134"/>
      <c r="I3" s="134"/>
      <c r="J3" s="135"/>
    </row>
    <row r="4" spans="1:10" ht="15" customHeight="1" x14ac:dyDescent="0.25">
      <c r="A4" s="26">
        <v>5</v>
      </c>
      <c r="B4" s="24">
        <f t="shared" si="0"/>
        <v>1.3010299956639813</v>
      </c>
      <c r="C4" s="21">
        <f t="shared" si="1"/>
        <v>2.15412524132535</v>
      </c>
      <c r="D4" s="55">
        <f t="shared" si="2"/>
        <v>861.65009653013999</v>
      </c>
      <c r="G4">
        <v>0</v>
      </c>
      <c r="H4" s="27">
        <v>0</v>
      </c>
      <c r="I4" s="25">
        <v>0</v>
      </c>
      <c r="J4" s="25">
        <v>0</v>
      </c>
    </row>
    <row r="5" spans="1:10" x14ac:dyDescent="0.25">
      <c r="A5" s="26">
        <v>5.5</v>
      </c>
      <c r="B5" s="24">
        <f t="shared" si="0"/>
        <v>1.2596373105057561</v>
      </c>
      <c r="C5" s="21">
        <f t="shared" si="1"/>
        <v>2.0855488908312725</v>
      </c>
      <c r="D5" s="55">
        <f t="shared" si="2"/>
        <v>834.219556332509</v>
      </c>
      <c r="G5">
        <v>2</v>
      </c>
      <c r="H5" s="27">
        <v>0.2</v>
      </c>
      <c r="I5" s="25">
        <v>0.05</v>
      </c>
      <c r="J5" s="25">
        <v>3.5999999999999997E-2</v>
      </c>
    </row>
    <row r="6" spans="1:10" x14ac:dyDescent="0.25">
      <c r="A6" s="26">
        <v>6</v>
      </c>
      <c r="B6" s="24">
        <f t="shared" si="0"/>
        <v>1.2218487496163564</v>
      </c>
      <c r="C6" s="21">
        <f t="shared" si="1"/>
        <v>2.0229435878335926</v>
      </c>
      <c r="D6" s="55">
        <f t="shared" si="2"/>
        <v>809.17743513343703</v>
      </c>
      <c r="G6">
        <v>4</v>
      </c>
      <c r="H6" s="27">
        <v>0.4</v>
      </c>
      <c r="I6" s="25">
        <v>0.1</v>
      </c>
      <c r="J6" s="25">
        <v>5.5E-2</v>
      </c>
    </row>
    <row r="7" spans="1:10" x14ac:dyDescent="0.25">
      <c r="A7" s="26">
        <v>6.5</v>
      </c>
      <c r="B7" s="24">
        <f t="shared" si="0"/>
        <v>1.1870866433571443</v>
      </c>
      <c r="C7" s="21">
        <f t="shared" si="1"/>
        <v>1.9653522918441755</v>
      </c>
      <c r="D7" s="55">
        <f t="shared" si="2"/>
        <v>786.14091673767018</v>
      </c>
      <c r="G7">
        <v>6</v>
      </c>
      <c r="H7" s="27">
        <v>0.6</v>
      </c>
      <c r="I7" s="25">
        <v>0.15</v>
      </c>
      <c r="J7" s="25">
        <v>8.5999999999999993E-2</v>
      </c>
    </row>
    <row r="8" spans="1:10" x14ac:dyDescent="0.25">
      <c r="A8" s="26">
        <v>7</v>
      </c>
      <c r="B8" s="24">
        <f t="shared" si="0"/>
        <v>1.1549019599857431</v>
      </c>
      <c r="C8" s="21">
        <f t="shared" si="1"/>
        <v>1.9120310801619336</v>
      </c>
      <c r="D8" s="55">
        <f t="shared" si="2"/>
        <v>764.81243206477347</v>
      </c>
      <c r="G8">
        <v>8</v>
      </c>
      <c r="H8" s="27">
        <v>0.8</v>
      </c>
      <c r="I8" s="25">
        <v>0.2</v>
      </c>
      <c r="J8" s="25">
        <v>0.13100000000000001</v>
      </c>
    </row>
    <row r="9" spans="1:10" x14ac:dyDescent="0.25">
      <c r="A9" s="23">
        <v>7.5</v>
      </c>
      <c r="B9" s="24">
        <f t="shared" si="0"/>
        <v>1.1249387366082999</v>
      </c>
      <c r="C9" s="21">
        <f t="shared" si="1"/>
        <v>1.8623902196956592</v>
      </c>
      <c r="D9" s="55">
        <f t="shared" si="2"/>
        <v>744.9560878782637</v>
      </c>
      <c r="G9">
        <v>10</v>
      </c>
      <c r="H9" s="27">
        <v>1</v>
      </c>
      <c r="I9" s="25">
        <v>0.25</v>
      </c>
      <c r="J9" s="25">
        <v>0.14899999999999999</v>
      </c>
    </row>
    <row r="10" spans="1:10" x14ac:dyDescent="0.25">
      <c r="A10" s="23">
        <v>8</v>
      </c>
      <c r="B10" s="24">
        <f t="shared" si="0"/>
        <v>1.0969100130080565</v>
      </c>
      <c r="C10" s="21">
        <f t="shared" si="1"/>
        <v>1.8159542959046662</v>
      </c>
      <c r="D10" s="55">
        <f t="shared" si="2"/>
        <v>726.38171836186643</v>
      </c>
      <c r="G10">
        <v>15</v>
      </c>
      <c r="H10" s="27">
        <v>1.5</v>
      </c>
      <c r="I10" s="25">
        <v>0.375</v>
      </c>
      <c r="J10" s="25">
        <v>0.22900000000000001</v>
      </c>
    </row>
    <row r="11" spans="1:10" x14ac:dyDescent="0.25">
      <c r="A11" s="23">
        <v>8.5</v>
      </c>
      <c r="B11" s="24">
        <f t="shared" si="0"/>
        <v>1.0705810742857071</v>
      </c>
      <c r="C11" s="21">
        <f t="shared" si="1"/>
        <v>1.7723344504402041</v>
      </c>
      <c r="D11" s="55">
        <f t="shared" si="2"/>
        <v>708.93378017608165</v>
      </c>
      <c r="G11">
        <v>20</v>
      </c>
      <c r="H11" s="27">
        <v>2</v>
      </c>
      <c r="I11" s="25">
        <v>0.5</v>
      </c>
      <c r="J11" s="25">
        <v>0.30099999999999999</v>
      </c>
    </row>
    <row r="12" spans="1:10" x14ac:dyDescent="0.25">
      <c r="A12" s="23">
        <v>9</v>
      </c>
      <c r="B12" s="24">
        <f t="shared" si="0"/>
        <v>1.0457574905606752</v>
      </c>
      <c r="C12" s="21">
        <f t="shared" si="1"/>
        <v>1.7312085662039021</v>
      </c>
      <c r="D12" s="55">
        <f t="shared" si="2"/>
        <v>692.48342648156085</v>
      </c>
    </row>
    <row r="13" spans="1:10" x14ac:dyDescent="0.25">
      <c r="A13" s="23">
        <v>9.5</v>
      </c>
      <c r="B13" s="24">
        <f t="shared" si="0"/>
        <v>1.0222763947111522</v>
      </c>
      <c r="C13" s="21">
        <f t="shared" si="1"/>
        <v>1.6923068169502191</v>
      </c>
      <c r="D13" s="55">
        <f t="shared" si="2"/>
        <v>676.9227267800876</v>
      </c>
    </row>
    <row r="14" spans="1:10" x14ac:dyDescent="0.25">
      <c r="A14" s="23">
        <v>10</v>
      </c>
      <c r="B14" s="24">
        <f t="shared" si="0"/>
        <v>1</v>
      </c>
      <c r="C14" s="21">
        <f t="shared" si="1"/>
        <v>1.6554009277667328</v>
      </c>
      <c r="D14" s="55">
        <f t="shared" si="2"/>
        <v>662.16037110669311</v>
      </c>
    </row>
    <row r="15" spans="1:10" x14ac:dyDescent="0.25">
      <c r="A15" s="23">
        <v>10.5</v>
      </c>
      <c r="B15" s="24">
        <f t="shared" si="0"/>
        <v>0.97881070093006195</v>
      </c>
      <c r="C15" s="21">
        <f t="shared" si="1"/>
        <v>1.620296058532243</v>
      </c>
      <c r="D15" s="55">
        <f t="shared" si="2"/>
        <v>648.11842341289719</v>
      </c>
      <c r="E15" s="135" t="s">
        <v>92</v>
      </c>
      <c r="F15" s="61" t="s">
        <v>93</v>
      </c>
      <c r="G15" s="28">
        <v>8.0000000000000004E-4</v>
      </c>
    </row>
    <row r="16" spans="1:10" x14ac:dyDescent="0.25">
      <c r="A16" s="23">
        <v>11</v>
      </c>
      <c r="B16" s="24">
        <f t="shared" si="0"/>
        <v>0.95860731484177497</v>
      </c>
      <c r="C16" s="21">
        <f t="shared" si="1"/>
        <v>1.5868245772726557</v>
      </c>
      <c r="D16" s="55">
        <f t="shared" si="2"/>
        <v>634.72983090906223</v>
      </c>
      <c r="E16" s="135"/>
      <c r="G16" s="85">
        <v>0.60360000000000003</v>
      </c>
    </row>
    <row r="17" spans="1:4" x14ac:dyDescent="0.25">
      <c r="A17" s="23">
        <v>11.5</v>
      </c>
      <c r="B17" s="24">
        <f t="shared" si="0"/>
        <v>0.9393021596463883</v>
      </c>
      <c r="C17" s="21">
        <f t="shared" si="1"/>
        <v>1.5548412187647254</v>
      </c>
      <c r="D17" s="55">
        <f t="shared" si="2"/>
        <v>621.93648750589011</v>
      </c>
    </row>
    <row r="18" spans="1:4" x14ac:dyDescent="0.25">
      <c r="A18" s="23">
        <v>12</v>
      </c>
      <c r="B18" s="24">
        <f t="shared" si="0"/>
        <v>0.92081875395237522</v>
      </c>
      <c r="C18" s="21">
        <f t="shared" si="1"/>
        <v>1.5242192742749754</v>
      </c>
      <c r="D18" s="55">
        <f t="shared" si="2"/>
        <v>609.68770970999014</v>
      </c>
    </row>
    <row r="19" spans="1:4" x14ac:dyDescent="0.25">
      <c r="A19" s="23">
        <v>12.5</v>
      </c>
      <c r="B19" s="24">
        <f t="shared" si="0"/>
        <v>0.90308998699194354</v>
      </c>
      <c r="C19" s="21">
        <f t="shared" si="1"/>
        <v>1.4948475596287996</v>
      </c>
      <c r="D19" s="55">
        <f t="shared" si="2"/>
        <v>597.93902385151978</v>
      </c>
    </row>
    <row r="20" spans="1:4" x14ac:dyDescent="0.25">
      <c r="A20" s="23">
        <v>13</v>
      </c>
      <c r="B20" s="24">
        <f t="shared" si="0"/>
        <v>0.88605664769316317</v>
      </c>
      <c r="C20" s="21">
        <f t="shared" si="1"/>
        <v>1.4666279782855585</v>
      </c>
      <c r="D20" s="55">
        <f t="shared" si="2"/>
        <v>586.65119131422341</v>
      </c>
    </row>
    <row r="21" spans="1:4" x14ac:dyDescent="0.25">
      <c r="A21" s="23">
        <v>13.5</v>
      </c>
      <c r="B21" s="24">
        <f t="shared" si="0"/>
        <v>0.86966623150499389</v>
      </c>
      <c r="C21" s="21">
        <f t="shared" si="1"/>
        <v>1.4394735445742111</v>
      </c>
      <c r="D21" s="55">
        <f t="shared" si="2"/>
        <v>575.78941782968445</v>
      </c>
    </row>
    <row r="22" spans="1:4" x14ac:dyDescent="0.25">
      <c r="A22" s="23">
        <v>14</v>
      </c>
      <c r="B22" s="24">
        <f t="shared" si="0"/>
        <v>0.85387196432176193</v>
      </c>
      <c r="C22" s="21">
        <f t="shared" si="1"/>
        <v>1.4133067666033166</v>
      </c>
      <c r="D22" s="55">
        <f t="shared" si="2"/>
        <v>565.32270664132659</v>
      </c>
    </row>
    <row r="23" spans="1:4" x14ac:dyDescent="0.25">
      <c r="A23" s="23">
        <v>14.5</v>
      </c>
      <c r="B23" s="24">
        <f t="shared" si="0"/>
        <v>0.83863199776502517</v>
      </c>
      <c r="C23" s="21">
        <f t="shared" si="1"/>
        <v>1.3880583130633286</v>
      </c>
      <c r="D23" s="55">
        <f t="shared" si="2"/>
        <v>555.22332522533145</v>
      </c>
    </row>
    <row r="24" spans="1:4" x14ac:dyDescent="0.25">
      <c r="A24" s="23">
        <v>15</v>
      </c>
      <c r="B24" s="24">
        <f t="shared" si="0"/>
        <v>0.82390874094431876</v>
      </c>
      <c r="C24" s="21">
        <f t="shared" si="1"/>
        <v>1.3636659061370422</v>
      </c>
      <c r="D24" s="55">
        <f t="shared" si="2"/>
        <v>545.46636245481693</v>
      </c>
    </row>
    <row r="25" spans="1:4" x14ac:dyDescent="0.25">
      <c r="A25" s="23">
        <v>15.5</v>
      </c>
      <c r="B25" s="24">
        <f t="shared" si="0"/>
        <v>0.8096683018297085</v>
      </c>
      <c r="C25" s="21">
        <f t="shared" si="1"/>
        <v>1.3400733960068065</v>
      </c>
      <c r="D25" s="55">
        <f t="shared" si="2"/>
        <v>536.02935840272266</v>
      </c>
    </row>
    <row r="26" spans="1:4" x14ac:dyDescent="0.25">
      <c r="A26" s="23">
        <v>16</v>
      </c>
      <c r="B26" s="24">
        <f t="shared" si="0"/>
        <v>0.79588001734407521</v>
      </c>
      <c r="C26" s="21">
        <f t="shared" si="1"/>
        <v>1.3172299823460489</v>
      </c>
      <c r="D26" s="55">
        <f t="shared" si="2"/>
        <v>526.89199293841955</v>
      </c>
    </row>
    <row r="27" spans="1:4" x14ac:dyDescent="0.25">
      <c r="A27" s="26">
        <v>16.5</v>
      </c>
      <c r="B27" s="24">
        <f t="shared" si="0"/>
        <v>0.78251605578609373</v>
      </c>
      <c r="C27" s="21">
        <f t="shared" si="1"/>
        <v>1.2950895556429649</v>
      </c>
      <c r="D27" s="55">
        <f t="shared" si="2"/>
        <v>518.03582225718594</v>
      </c>
    </row>
    <row r="28" spans="1:4" x14ac:dyDescent="0.25">
      <c r="A28" s="23">
        <v>17</v>
      </c>
      <c r="B28" s="24">
        <f t="shared" si="0"/>
        <v>0.769551078621726</v>
      </c>
      <c r="C28" s="21">
        <f t="shared" si="1"/>
        <v>1.2736101368815871</v>
      </c>
      <c r="D28" s="55">
        <f t="shared" si="2"/>
        <v>509.44405475263483</v>
      </c>
    </row>
    <row r="29" spans="1:4" x14ac:dyDescent="0.25">
      <c r="A29" s="23">
        <v>17.5</v>
      </c>
      <c r="B29" s="24">
        <f t="shared" si="0"/>
        <v>0.75696195131370558</v>
      </c>
      <c r="C29" s="21">
        <f t="shared" si="1"/>
        <v>1.2527533984653836</v>
      </c>
      <c r="D29" s="55">
        <f t="shared" si="2"/>
        <v>501.10135938615343</v>
      </c>
    </row>
    <row r="30" spans="1:4" x14ac:dyDescent="0.25">
      <c r="A30" s="23">
        <v>18</v>
      </c>
      <c r="B30" s="24">
        <f t="shared" si="0"/>
        <v>0.74472749489669399</v>
      </c>
      <c r="C30" s="21">
        <f t="shared" si="1"/>
        <v>1.2324842526452848</v>
      </c>
      <c r="D30" s="55">
        <f t="shared" si="2"/>
        <v>492.99370105811391</v>
      </c>
    </row>
    <row r="31" spans="1:4" x14ac:dyDescent="0.25">
      <c r="A31" s="23">
        <v>18.5</v>
      </c>
      <c r="B31" s="24">
        <f t="shared" si="0"/>
        <v>0.73282827159698616</v>
      </c>
      <c r="C31" s="21">
        <f t="shared" si="1"/>
        <v>1.2127704963502088</v>
      </c>
      <c r="D31" s="55">
        <f t="shared" si="2"/>
        <v>485.10819854008355</v>
      </c>
    </row>
    <row r="32" spans="1:4" x14ac:dyDescent="0.25">
      <c r="A32" s="23">
        <v>19</v>
      </c>
      <c r="B32" s="24">
        <f t="shared" si="0"/>
        <v>0.72124639904717103</v>
      </c>
      <c r="C32" s="21">
        <f t="shared" si="1"/>
        <v>1.1935825033916021</v>
      </c>
      <c r="D32" s="55">
        <f t="shared" si="2"/>
        <v>477.43300135664083</v>
      </c>
    </row>
    <row r="33" spans="1:4" x14ac:dyDescent="0.25">
      <c r="A33" s="23">
        <v>19.5</v>
      </c>
      <c r="B33" s="24">
        <f t="shared" si="0"/>
        <v>0.70996538863748193</v>
      </c>
      <c r="C33" s="21">
        <f t="shared" si="1"/>
        <v>1.1748929566558679</v>
      </c>
      <c r="D33" s="55">
        <f t="shared" si="2"/>
        <v>469.95718266234718</v>
      </c>
    </row>
    <row r="34" spans="1:4" x14ac:dyDescent="0.25">
      <c r="A34" s="23">
        <v>20</v>
      </c>
      <c r="B34" s="24">
        <f t="shared" si="0"/>
        <v>0.69897000433601875</v>
      </c>
      <c r="C34" s="21">
        <f t="shared" si="1"/>
        <v>1.1566766142081157</v>
      </c>
      <c r="D34" s="55">
        <f t="shared" si="2"/>
        <v>462.67064568324628</v>
      </c>
    </row>
    <row r="35" spans="1:4" x14ac:dyDescent="0.25">
      <c r="A35" s="23">
        <v>20.5</v>
      </c>
      <c r="B35" s="24">
        <f t="shared" si="0"/>
        <v>0.68824613894424569</v>
      </c>
      <c r="C35" s="21">
        <f t="shared" si="1"/>
        <v>1.1389101042813878</v>
      </c>
      <c r="D35" s="55">
        <f t="shared" si="2"/>
        <v>455.56404171255514</v>
      </c>
    </row>
    <row r="36" spans="1:4" x14ac:dyDescent="0.25">
      <c r="A36" s="23">
        <v>21</v>
      </c>
      <c r="B36" s="24">
        <f t="shared" si="0"/>
        <v>0.6777807052660807</v>
      </c>
      <c r="C36" s="21">
        <f t="shared" si="1"/>
        <v>1.121571744973626</v>
      </c>
      <c r="D36" s="55">
        <f t="shared" si="2"/>
        <v>448.62869798945042</v>
      </c>
    </row>
    <row r="37" spans="1:4" x14ac:dyDescent="0.25">
      <c r="A37" s="23">
        <v>21.5</v>
      </c>
      <c r="B37" s="24">
        <f t="shared" si="0"/>
        <v>0.66756154008439472</v>
      </c>
      <c r="C37" s="21">
        <f t="shared" si="1"/>
        <v>1.104641385163013</v>
      </c>
      <c r="D37" s="55">
        <f t="shared" si="2"/>
        <v>441.85655406520522</v>
      </c>
    </row>
    <row r="38" spans="1:4" x14ac:dyDescent="0.25">
      <c r="A38" s="23">
        <v>22</v>
      </c>
      <c r="B38" s="24">
        <f t="shared" si="0"/>
        <v>0.65757731917779372</v>
      </c>
      <c r="C38" s="21">
        <f t="shared" si="1"/>
        <v>1.0881002637140385</v>
      </c>
      <c r="D38" s="55">
        <f t="shared" si="2"/>
        <v>435.2401054856154</v>
      </c>
    </row>
    <row r="39" spans="1:4" x14ac:dyDescent="0.25">
      <c r="A39" s="23">
        <v>22.5</v>
      </c>
      <c r="B39" s="24">
        <f t="shared" si="0"/>
        <v>0.64781748188863753</v>
      </c>
      <c r="C39" s="21">
        <f t="shared" si="1"/>
        <v>1.0719308845073516</v>
      </c>
      <c r="D39" s="55">
        <f t="shared" si="2"/>
        <v>428.77235380294064</v>
      </c>
    </row>
    <row r="40" spans="1:4" x14ac:dyDescent="0.25">
      <c r="A40" s="23">
        <v>23</v>
      </c>
      <c r="B40" s="24">
        <f t="shared" si="0"/>
        <v>0.63827216398240705</v>
      </c>
      <c r="C40" s="21">
        <f t="shared" si="1"/>
        <v>1.0561169052061083</v>
      </c>
      <c r="D40" s="55">
        <f t="shared" si="2"/>
        <v>422.44676208244334</v>
      </c>
    </row>
    <row r="41" spans="1:4" x14ac:dyDescent="0.25">
      <c r="A41" s="23">
        <v>23.5</v>
      </c>
      <c r="B41" s="24">
        <f t="shared" si="0"/>
        <v>0.62893213772826373</v>
      </c>
      <c r="C41" s="21">
        <f t="shared" si="1"/>
        <v>1.0406430379858576</v>
      </c>
      <c r="D41" s="55">
        <f t="shared" si="2"/>
        <v>416.25721519434302</v>
      </c>
    </row>
    <row r="42" spans="1:4" x14ac:dyDescent="0.25">
      <c r="A42" s="23">
        <v>24</v>
      </c>
      <c r="B42" s="24">
        <f t="shared" si="0"/>
        <v>0.61978875828839397</v>
      </c>
      <c r="C42" s="21">
        <f t="shared" si="1"/>
        <v>1.0254949607163584</v>
      </c>
      <c r="D42" s="55">
        <f t="shared" si="2"/>
        <v>410.19798428654337</v>
      </c>
    </row>
    <row r="43" spans="1:4" x14ac:dyDescent="0.25">
      <c r="A43" s="23">
        <v>24.5</v>
      </c>
      <c r="B43" s="24">
        <f t="shared" si="0"/>
        <v>0.61083391563546752</v>
      </c>
      <c r="C43" s="21">
        <f t="shared" si="1"/>
        <v>1.0106592373019674</v>
      </c>
      <c r="D43" s="55">
        <f t="shared" si="2"/>
        <v>404.26369492078697</v>
      </c>
    </row>
    <row r="44" spans="1:4" x14ac:dyDescent="0.25">
      <c r="A44" s="23">
        <v>25</v>
      </c>
      <c r="B44" s="24">
        <f t="shared" si="0"/>
        <v>0.6020599913279624</v>
      </c>
      <c r="C44" s="21">
        <f t="shared" si="1"/>
        <v>0.99612324607018277</v>
      </c>
      <c r="D44" s="55">
        <f t="shared" si="2"/>
        <v>398.44929842807312</v>
      </c>
    </row>
    <row r="45" spans="1:4" x14ac:dyDescent="0.25">
      <c r="A45" s="23">
        <v>25.5</v>
      </c>
      <c r="B45" s="24">
        <f t="shared" si="0"/>
        <v>0.59345981956604488</v>
      </c>
      <c r="C45" s="21">
        <f t="shared" si="1"/>
        <v>0.98187511525189664</v>
      </c>
      <c r="D45" s="55">
        <f t="shared" si="2"/>
        <v>392.75004610075865</v>
      </c>
    </row>
    <row r="46" spans="1:4" x14ac:dyDescent="0.25">
      <c r="A46" s="23">
        <v>26</v>
      </c>
      <c r="B46" s="24">
        <f t="shared" si="0"/>
        <v>0.58502665202918203</v>
      </c>
      <c r="C46" s="21">
        <f t="shared" si="1"/>
        <v>0.96790366472694167</v>
      </c>
      <c r="D46" s="55">
        <f t="shared" si="2"/>
        <v>387.16146589077664</v>
      </c>
    </row>
    <row r="47" spans="1:4" x14ac:dyDescent="0.25">
      <c r="A47" s="26">
        <v>26.5</v>
      </c>
      <c r="B47" s="24">
        <f t="shared" si="0"/>
        <v>0.5767541260631921</v>
      </c>
      <c r="C47" s="21">
        <f t="shared" si="1"/>
        <v>0.95419835331874092</v>
      </c>
      <c r="D47" s="55">
        <f t="shared" si="2"/>
        <v>381.67934132749639</v>
      </c>
    </row>
    <row r="48" spans="1:4" x14ac:dyDescent="0.25">
      <c r="A48" s="26">
        <v>27</v>
      </c>
      <c r="B48" s="24">
        <f t="shared" si="0"/>
        <v>0.56863623584101264</v>
      </c>
      <c r="C48" s="21">
        <f t="shared" si="1"/>
        <v>0.94074923101559405</v>
      </c>
      <c r="D48" s="55">
        <f t="shared" si="2"/>
        <v>376.29969240623763</v>
      </c>
    </row>
    <row r="49" spans="1:4" x14ac:dyDescent="0.25">
      <c r="A49" s="26">
        <v>27.5</v>
      </c>
      <c r="B49" s="24">
        <f t="shared" si="0"/>
        <v>0.56066730616973737</v>
      </c>
      <c r="C49" s="21">
        <f t="shared" si="1"/>
        <v>0.92754689557610559</v>
      </c>
      <c r="D49" s="55">
        <f t="shared" si="2"/>
        <v>371.01875823044224</v>
      </c>
    </row>
    <row r="50" spans="1:4" x14ac:dyDescent="0.25">
      <c r="A50" s="26">
        <v>28</v>
      </c>
      <c r="B50" s="24">
        <f t="shared" si="0"/>
        <v>0.55284196865778079</v>
      </c>
      <c r="C50" s="21">
        <f t="shared" si="1"/>
        <v>0.91458245304469976</v>
      </c>
      <c r="D50" s="55">
        <f t="shared" si="2"/>
        <v>365.83298121787993</v>
      </c>
    </row>
    <row r="51" spans="1:4" x14ac:dyDescent="0.25">
      <c r="A51" s="26">
        <v>28.5</v>
      </c>
      <c r="B51" s="24">
        <f t="shared" si="0"/>
        <v>0.54515513999148979</v>
      </c>
      <c r="C51" s="21">
        <f t="shared" si="1"/>
        <v>0.90184748176191143</v>
      </c>
      <c r="D51" s="55">
        <f t="shared" si="2"/>
        <v>360.7389927047646</v>
      </c>
    </row>
    <row r="52" spans="1:4" x14ac:dyDescent="0.25">
      <c r="A52" s="26">
        <v>29</v>
      </c>
      <c r="B52" s="24">
        <f t="shared" si="0"/>
        <v>0.53760200210104392</v>
      </c>
      <c r="C52" s="21">
        <f t="shared" si="1"/>
        <v>0.88933399950471148</v>
      </c>
      <c r="D52" s="55">
        <f t="shared" si="2"/>
        <v>355.73359980188457</v>
      </c>
    </row>
    <row r="53" spans="1:4" x14ac:dyDescent="0.25">
      <c r="A53" s="26">
        <v>29.5</v>
      </c>
      <c r="B53" s="24">
        <f t="shared" si="0"/>
        <v>0.53017798402183702</v>
      </c>
      <c r="C53" s="21">
        <f t="shared" si="1"/>
        <v>0.87703443343578025</v>
      </c>
      <c r="D53" s="55">
        <f t="shared" si="2"/>
        <v>350.81377337431212</v>
      </c>
    </row>
    <row r="54" spans="1:4" x14ac:dyDescent="0.25">
      <c r="A54" s="26">
        <v>30</v>
      </c>
      <c r="B54" s="24">
        <f t="shared" si="0"/>
        <v>0.52287874528033762</v>
      </c>
      <c r="C54" s="21">
        <f t="shared" si="1"/>
        <v>0.8649415925784254</v>
      </c>
      <c r="D54" s="55">
        <f t="shared" si="2"/>
        <v>345.97663703137016</v>
      </c>
    </row>
    <row r="55" spans="1:4" x14ac:dyDescent="0.25">
      <c r="A55" s="26">
        <v>30.5</v>
      </c>
      <c r="B55" s="24">
        <f t="shared" si="0"/>
        <v>0.51570016065321422</v>
      </c>
      <c r="C55" s="21">
        <f t="shared" si="1"/>
        <v>0.85304864256662394</v>
      </c>
      <c r="D55" s="55">
        <f t="shared" si="2"/>
        <v>341.21945702664959</v>
      </c>
    </row>
    <row r="56" spans="1:4" x14ac:dyDescent="0.25">
      <c r="A56" s="26">
        <v>31</v>
      </c>
      <c r="B56" s="24">
        <f t="shared" si="0"/>
        <v>0.50863830616572736</v>
      </c>
      <c r="C56" s="21">
        <f t="shared" si="1"/>
        <v>0.84134908244818973</v>
      </c>
      <c r="D56" s="55">
        <f t="shared" si="2"/>
        <v>336.53963297927589</v>
      </c>
    </row>
    <row r="57" spans="1:4" x14ac:dyDescent="0.25">
      <c r="A57" s="26">
        <v>31.5</v>
      </c>
      <c r="B57" s="24">
        <f t="shared" si="0"/>
        <v>0.50168944621039946</v>
      </c>
      <c r="C57" s="21">
        <f t="shared" si="1"/>
        <v>0.82983672334393543</v>
      </c>
      <c r="D57" s="55">
        <f t="shared" si="2"/>
        <v>331.93468933757418</v>
      </c>
    </row>
    <row r="58" spans="1:4" x14ac:dyDescent="0.25">
      <c r="A58" s="26">
        <v>32</v>
      </c>
      <c r="B58" s="24">
        <f t="shared" si="0"/>
        <v>0.49485002168009401</v>
      </c>
      <c r="C58" s="21">
        <f t="shared" si="1"/>
        <v>0.81850566878743203</v>
      </c>
      <c r="D58" s="55">
        <f t="shared" si="2"/>
        <v>327.40226751497283</v>
      </c>
    </row>
    <row r="59" spans="1:4" x14ac:dyDescent="0.25">
      <c r="A59" s="26">
        <v>32.5</v>
      </c>
      <c r="B59" s="24">
        <f t="shared" si="0"/>
        <v>0.48811663902112562</v>
      </c>
      <c r="C59" s="21">
        <f t="shared" si="1"/>
        <v>0.80735029658900859</v>
      </c>
      <c r="D59" s="55">
        <f t="shared" si="2"/>
        <v>322.94011863560343</v>
      </c>
    </row>
    <row r="60" spans="1:4" x14ac:dyDescent="0.25">
      <c r="A60" s="26">
        <v>33</v>
      </c>
      <c r="B60" s="24">
        <f t="shared" si="0"/>
        <v>0.48148606012211248</v>
      </c>
      <c r="C60" s="21">
        <f t="shared" si="1"/>
        <v>0.796365242084348</v>
      </c>
      <c r="D60" s="55">
        <f t="shared" si="2"/>
        <v>318.54609683373923</v>
      </c>
    </row>
    <row r="61" spans="1:4" x14ac:dyDescent="0.25">
      <c r="A61" s="26">
        <v>33.5</v>
      </c>
      <c r="B61" s="24">
        <f t="shared" si="0"/>
        <v>0.47495519296315475</v>
      </c>
      <c r="C61" s="21">
        <f t="shared" si="1"/>
        <v>0.78554538264273477</v>
      </c>
      <c r="D61" s="55">
        <f t="shared" si="2"/>
        <v>314.2181530570939</v>
      </c>
    </row>
    <row r="62" spans="1:4" x14ac:dyDescent="0.25">
      <c r="A62" s="26">
        <v>34</v>
      </c>
      <c r="B62" s="24">
        <f t="shared" si="0"/>
        <v>0.46852108295774486</v>
      </c>
      <c r="C62" s="21">
        <f t="shared" si="1"/>
        <v>0.77488582332297018</v>
      </c>
      <c r="D62" s="55">
        <f t="shared" si="2"/>
        <v>309.95432932918806</v>
      </c>
    </row>
    <row r="63" spans="1:4" x14ac:dyDescent="0.25">
      <c r="A63" s="26">
        <v>34.5</v>
      </c>
      <c r="B63" s="24">
        <f t="shared" si="0"/>
        <v>0.46218090492672592</v>
      </c>
      <c r="C63" s="21">
        <f t="shared" si="1"/>
        <v>0.76438188357641801</v>
      </c>
      <c r="D63" s="55">
        <f t="shared" si="2"/>
        <v>305.75275343056722</v>
      </c>
    </row>
    <row r="64" spans="1:4" x14ac:dyDescent="0.25">
      <c r="A64" s="26">
        <v>35</v>
      </c>
      <c r="B64" s="24">
        <f t="shared" si="0"/>
        <v>0.45593195564972439</v>
      </c>
      <c r="C64" s="21">
        <f t="shared" si="1"/>
        <v>0.75402908490676668</v>
      </c>
      <c r="D64" s="55">
        <f t="shared" si="2"/>
        <v>301.61163396270666</v>
      </c>
    </row>
    <row r="65" spans="1:4" x14ac:dyDescent="0.25">
      <c r="A65" s="26">
        <v>35.5</v>
      </c>
      <c r="B65" s="24">
        <f t="shared" si="0"/>
        <v>0.44977164694490596</v>
      </c>
      <c r="C65" s="21">
        <f t="shared" si="1"/>
        <v>0.74382313940507938</v>
      </c>
      <c r="D65" s="55">
        <f t="shared" si="2"/>
        <v>297.52925576203177</v>
      </c>
    </row>
    <row r="66" spans="1:4" x14ac:dyDescent="0.25">
      <c r="A66" s="26">
        <v>36</v>
      </c>
      <c r="B66" s="24">
        <f t="shared" ref="B66:B129" si="3">(-LOG(A66/100))</f>
        <v>0.44369749923271273</v>
      </c>
      <c r="C66" s="21">
        <f t="shared" si="1"/>
        <v>0.73375993908666781</v>
      </c>
      <c r="D66" s="55">
        <f t="shared" si="2"/>
        <v>293.50397563466714</v>
      </c>
    </row>
    <row r="67" spans="1:4" x14ac:dyDescent="0.25">
      <c r="A67" s="26">
        <v>36.5</v>
      </c>
      <c r="B67" s="24">
        <f t="shared" si="3"/>
        <v>0.43770713554352531</v>
      </c>
      <c r="C67" s="21">
        <f t="shared" ref="C67:C130" si="4">((B67-$G$15)/$G$16)</f>
        <v>0.72383554596342825</v>
      </c>
      <c r="D67" s="55">
        <f t="shared" ref="D67:D130" si="5">C67*400</f>
        <v>289.53421838537128</v>
      </c>
    </row>
    <row r="68" spans="1:4" x14ac:dyDescent="0.25">
      <c r="A68" s="26">
        <v>37</v>
      </c>
      <c r="B68" s="24">
        <f t="shared" si="3"/>
        <v>0.43179827593300502</v>
      </c>
      <c r="C68" s="21">
        <f t="shared" si="4"/>
        <v>0.71404618279159204</v>
      </c>
      <c r="D68" s="55">
        <f t="shared" si="5"/>
        <v>285.61847311663684</v>
      </c>
    </row>
    <row r="69" spans="1:4" x14ac:dyDescent="0.25">
      <c r="A69" s="26">
        <v>37.5</v>
      </c>
      <c r="B69" s="24">
        <f t="shared" si="3"/>
        <v>0.42596873227228116</v>
      </c>
      <c r="C69" s="21">
        <f t="shared" si="4"/>
        <v>0.70438822444049221</v>
      </c>
      <c r="D69" s="55">
        <f t="shared" si="5"/>
        <v>281.75528977619689</v>
      </c>
    </row>
    <row r="70" spans="1:4" x14ac:dyDescent="0.25">
      <c r="A70" s="26">
        <v>38</v>
      </c>
      <c r="B70" s="24">
        <f t="shared" si="3"/>
        <v>0.42021640338318983</v>
      </c>
      <c r="C70" s="21">
        <f t="shared" si="4"/>
        <v>0.69485818983298508</v>
      </c>
      <c r="D70" s="55">
        <f t="shared" si="5"/>
        <v>277.94327593319406</v>
      </c>
    </row>
    <row r="71" spans="1:4" x14ac:dyDescent="0.25">
      <c r="A71" s="26">
        <v>38.5</v>
      </c>
      <c r="B71" s="24">
        <f t="shared" si="3"/>
        <v>0.4145392704914993</v>
      </c>
      <c r="C71" s="21">
        <f t="shared" si="4"/>
        <v>0.68545273441268928</v>
      </c>
      <c r="D71" s="55">
        <f t="shared" si="5"/>
        <v>274.18109376507573</v>
      </c>
    </row>
    <row r="72" spans="1:4" x14ac:dyDescent="0.25">
      <c r="A72" s="26">
        <v>39</v>
      </c>
      <c r="B72" s="24">
        <f t="shared" si="3"/>
        <v>0.40893539297350079</v>
      </c>
      <c r="C72" s="21">
        <f t="shared" si="4"/>
        <v>0.67616864309725111</v>
      </c>
      <c r="D72" s="55">
        <f t="shared" si="5"/>
        <v>270.46745723890047</v>
      </c>
    </row>
    <row r="73" spans="1:4" x14ac:dyDescent="0.25">
      <c r="A73" s="26">
        <v>39.5</v>
      </c>
      <c r="B73" s="24">
        <f t="shared" si="3"/>
        <v>0.40340290437353976</v>
      </c>
      <c r="C73" s="21">
        <f t="shared" si="4"/>
        <v>0.66700282368048325</v>
      </c>
      <c r="D73" s="55">
        <f t="shared" si="5"/>
        <v>266.80112947219328</v>
      </c>
    </row>
    <row r="74" spans="1:4" x14ac:dyDescent="0.25">
      <c r="A74" s="26">
        <v>40</v>
      </c>
      <c r="B74" s="24">
        <f t="shared" si="3"/>
        <v>0.3979400086720376</v>
      </c>
      <c r="C74" s="21">
        <f t="shared" si="4"/>
        <v>0.65795230064949894</v>
      </c>
      <c r="D74" s="55">
        <f t="shared" si="5"/>
        <v>263.18092025979956</v>
      </c>
    </row>
    <row r="75" spans="1:4" x14ac:dyDescent="0.25">
      <c r="A75" s="26">
        <v>40.5</v>
      </c>
      <c r="B75" s="24">
        <f t="shared" si="3"/>
        <v>0.3925449767853314</v>
      </c>
      <c r="C75" s="21">
        <f t="shared" si="4"/>
        <v>0.64901420938590348</v>
      </c>
      <c r="D75" s="55">
        <f t="shared" si="5"/>
        <v>259.60568375436139</v>
      </c>
    </row>
    <row r="76" spans="1:4" x14ac:dyDescent="0.25">
      <c r="A76" s="26">
        <v>41</v>
      </c>
      <c r="B76" s="24">
        <f t="shared" si="3"/>
        <v>0.38721614328026455</v>
      </c>
      <c r="C76" s="21">
        <f t="shared" si="4"/>
        <v>0.64018579072277093</v>
      </c>
      <c r="D76" s="55">
        <f t="shared" si="5"/>
        <v>256.07431628910837</v>
      </c>
    </row>
    <row r="77" spans="1:4" x14ac:dyDescent="0.25">
      <c r="A77" s="26">
        <v>41.5</v>
      </c>
      <c r="B77" s="24">
        <f t="shared" si="3"/>
        <v>0.38195190328790729</v>
      </c>
      <c r="C77" s="21">
        <f t="shared" si="4"/>
        <v>0.63146438583152298</v>
      </c>
      <c r="D77" s="55">
        <f t="shared" si="5"/>
        <v>252.58575433260918</v>
      </c>
    </row>
    <row r="78" spans="1:4" x14ac:dyDescent="0.25">
      <c r="A78" s="26">
        <v>42</v>
      </c>
      <c r="B78" s="24">
        <f t="shared" si="3"/>
        <v>0.37675070960209955</v>
      </c>
      <c r="C78" s="21">
        <f t="shared" si="4"/>
        <v>0.62284743141500909</v>
      </c>
      <c r="D78" s="55">
        <f t="shared" si="5"/>
        <v>249.13897256600364</v>
      </c>
    </row>
    <row r="79" spans="1:4" x14ac:dyDescent="0.25">
      <c r="A79" s="26">
        <v>42.5</v>
      </c>
      <c r="B79" s="24">
        <f t="shared" si="3"/>
        <v>0.37161106994968846</v>
      </c>
      <c r="C79" s="21">
        <f t="shared" si="4"/>
        <v>0.6143324551850371</v>
      </c>
      <c r="D79" s="55">
        <f t="shared" si="5"/>
        <v>245.73298207401484</v>
      </c>
    </row>
    <row r="80" spans="1:4" x14ac:dyDescent="0.25">
      <c r="A80" s="26">
        <v>43</v>
      </c>
      <c r="B80" s="24">
        <f t="shared" si="3"/>
        <v>0.36653154442041347</v>
      </c>
      <c r="C80" s="21">
        <f t="shared" si="4"/>
        <v>0.60591707160439601</v>
      </c>
      <c r="D80" s="55">
        <f t="shared" si="5"/>
        <v>242.36682864175839</v>
      </c>
    </row>
    <row r="81" spans="1:4" x14ac:dyDescent="0.25">
      <c r="A81" s="26">
        <v>43.5</v>
      </c>
      <c r="B81" s="24">
        <f t="shared" si="3"/>
        <v>0.36151074304536268</v>
      </c>
      <c r="C81" s="21">
        <f t="shared" si="4"/>
        <v>0.59759897787502092</v>
      </c>
      <c r="D81" s="55">
        <f t="shared" si="5"/>
        <v>239.03959115000836</v>
      </c>
    </row>
    <row r="82" spans="1:4" x14ac:dyDescent="0.25">
      <c r="A82" s="26">
        <v>44</v>
      </c>
      <c r="B82" s="24">
        <f t="shared" si="3"/>
        <v>0.35654732351381258</v>
      </c>
      <c r="C82" s="21">
        <f t="shared" si="4"/>
        <v>0.58937595015542166</v>
      </c>
      <c r="D82" s="55">
        <f t="shared" si="5"/>
        <v>235.75038006216866</v>
      </c>
    </row>
    <row r="83" spans="1:4" x14ac:dyDescent="0.25">
      <c r="A83" s="26">
        <v>44.5</v>
      </c>
      <c r="B83" s="24">
        <f t="shared" si="3"/>
        <v>0.3516399890190684</v>
      </c>
      <c r="C83" s="21">
        <f t="shared" si="4"/>
        <v>0.58124583999182966</v>
      </c>
      <c r="D83" s="55">
        <f t="shared" si="5"/>
        <v>232.49833599673187</v>
      </c>
    </row>
    <row r="84" spans="1:4" x14ac:dyDescent="0.25">
      <c r="A84" s="26">
        <v>45</v>
      </c>
      <c r="B84" s="24">
        <f t="shared" si="3"/>
        <v>0.34678748622465633</v>
      </c>
      <c r="C84" s="21">
        <f t="shared" si="4"/>
        <v>0.57320657094873473</v>
      </c>
      <c r="D84" s="55">
        <f t="shared" si="5"/>
        <v>229.2826283794939</v>
      </c>
    </row>
    <row r="85" spans="1:4" x14ac:dyDescent="0.25">
      <c r="A85" s="26">
        <v>45.5</v>
      </c>
      <c r="B85" s="24">
        <f t="shared" si="3"/>
        <v>0.34198860334288755</v>
      </c>
      <c r="C85" s="21">
        <f t="shared" si="4"/>
        <v>0.56525613542559228</v>
      </c>
      <c r="D85" s="55">
        <f t="shared" si="5"/>
        <v>226.10245417023691</v>
      </c>
    </row>
    <row r="86" spans="1:4" x14ac:dyDescent="0.25">
      <c r="A86" s="26">
        <v>46</v>
      </c>
      <c r="B86" s="24">
        <f t="shared" si="3"/>
        <v>0.33724216831842591</v>
      </c>
      <c r="C86" s="21">
        <f t="shared" si="4"/>
        <v>0.55739259164749155</v>
      </c>
      <c r="D86" s="55">
        <f t="shared" si="5"/>
        <v>222.95703665899663</v>
      </c>
    </row>
    <row r="87" spans="1:4" x14ac:dyDescent="0.25">
      <c r="A87" s="26">
        <v>46.5</v>
      </c>
      <c r="B87" s="24">
        <f t="shared" si="3"/>
        <v>0.33254704711004607</v>
      </c>
      <c r="C87" s="21">
        <f t="shared" si="4"/>
        <v>0.54961406081849906</v>
      </c>
      <c r="D87" s="55">
        <f t="shared" si="5"/>
        <v>219.84562432739963</v>
      </c>
    </row>
    <row r="88" spans="1:4" x14ac:dyDescent="0.25">
      <c r="A88" s="26">
        <v>47</v>
      </c>
      <c r="B88" s="24">
        <f t="shared" si="3"/>
        <v>0.32790214206428259</v>
      </c>
      <c r="C88" s="21">
        <f t="shared" si="4"/>
        <v>0.54191872442724076</v>
      </c>
      <c r="D88" s="55">
        <f t="shared" si="5"/>
        <v>216.7674897708963</v>
      </c>
    </row>
    <row r="89" spans="1:4" x14ac:dyDescent="0.25">
      <c r="A89" s="26">
        <v>47.5</v>
      </c>
      <c r="B89" s="24">
        <f t="shared" si="3"/>
        <v>0.32330639037513342</v>
      </c>
      <c r="C89" s="21">
        <f t="shared" si="4"/>
        <v>0.534304821695052</v>
      </c>
      <c r="D89" s="55">
        <f t="shared" si="5"/>
        <v>213.72192867802079</v>
      </c>
    </row>
    <row r="90" spans="1:4" x14ac:dyDescent="0.25">
      <c r="A90" s="26">
        <v>48</v>
      </c>
      <c r="B90" s="24">
        <f t="shared" si="3"/>
        <v>0.31875876262441277</v>
      </c>
      <c r="C90" s="21">
        <f t="shared" si="4"/>
        <v>0.52677064715774147</v>
      </c>
      <c r="D90" s="55">
        <f t="shared" si="5"/>
        <v>210.70825886309657</v>
      </c>
    </row>
    <row r="91" spans="1:4" x14ac:dyDescent="0.25">
      <c r="A91" s="26">
        <v>48.5</v>
      </c>
      <c r="B91" s="24">
        <f t="shared" si="3"/>
        <v>0.31425826139773638</v>
      </c>
      <c r="C91" s="21">
        <f t="shared" si="4"/>
        <v>0.519314548372658</v>
      </c>
      <c r="D91" s="55">
        <f t="shared" si="5"/>
        <v>207.72581934906322</v>
      </c>
    </row>
    <row r="92" spans="1:4" x14ac:dyDescent="0.25">
      <c r="A92" s="26">
        <v>49</v>
      </c>
      <c r="B92" s="24">
        <f t="shared" si="3"/>
        <v>0.30980391997148632</v>
      </c>
      <c r="C92" s="21">
        <f t="shared" si="4"/>
        <v>0.51193492374335037</v>
      </c>
      <c r="D92" s="55">
        <f t="shared" si="5"/>
        <v>204.77396949734015</v>
      </c>
    </row>
    <row r="93" spans="1:4" x14ac:dyDescent="0.25">
      <c r="A93" s="26">
        <v>49.5</v>
      </c>
      <c r="B93" s="24">
        <f t="shared" si="3"/>
        <v>0.3053948010664313</v>
      </c>
      <c r="C93" s="21">
        <f t="shared" si="4"/>
        <v>0.50463022045465744</v>
      </c>
      <c r="D93" s="55">
        <f t="shared" si="5"/>
        <v>201.85208818186297</v>
      </c>
    </row>
    <row r="94" spans="1:4" x14ac:dyDescent="0.25">
      <c r="A94" s="26">
        <v>50</v>
      </c>
      <c r="B94" s="24">
        <f t="shared" si="3"/>
        <v>0.3010299956639812</v>
      </c>
      <c r="C94" s="21">
        <f t="shared" si="4"/>
        <v>0.49739893251156586</v>
      </c>
      <c r="D94" s="55">
        <f t="shared" si="5"/>
        <v>198.95957300462635</v>
      </c>
    </row>
    <row r="95" spans="1:4" x14ac:dyDescent="0.25">
      <c r="A95" s="26">
        <v>50.5</v>
      </c>
      <c r="B95" s="24">
        <f t="shared" si="3"/>
        <v>0.29670862188133862</v>
      </c>
      <c r="C95" s="21">
        <f t="shared" si="4"/>
        <v>0.49023959887564378</v>
      </c>
      <c r="D95" s="55">
        <f t="shared" si="5"/>
        <v>196.09583955025752</v>
      </c>
    </row>
    <row r="96" spans="1:4" x14ac:dyDescent="0.25">
      <c r="A96" s="26">
        <v>51</v>
      </c>
      <c r="B96" s="24">
        <f t="shared" si="3"/>
        <v>0.29242982390206362</v>
      </c>
      <c r="C96" s="21">
        <f t="shared" si="4"/>
        <v>0.48315080169327962</v>
      </c>
      <c r="D96" s="55">
        <f t="shared" si="5"/>
        <v>193.26032067731185</v>
      </c>
    </row>
    <row r="97" spans="1:4" x14ac:dyDescent="0.25">
      <c r="A97" s="26">
        <v>51.5</v>
      </c>
      <c r="B97" s="24">
        <f t="shared" si="3"/>
        <v>0.28819277095880896</v>
      </c>
      <c r="C97" s="21">
        <f t="shared" si="4"/>
        <v>0.47613116461035276</v>
      </c>
      <c r="D97" s="55">
        <f t="shared" si="5"/>
        <v>190.4524658441411</v>
      </c>
    </row>
    <row r="98" spans="1:4" x14ac:dyDescent="0.25">
      <c r="A98" s="26">
        <v>52</v>
      </c>
      <c r="B98" s="24">
        <f t="shared" si="3"/>
        <v>0.28399665636520083</v>
      </c>
      <c r="C98" s="21">
        <f t="shared" si="4"/>
        <v>0.46917935116832471</v>
      </c>
      <c r="D98" s="55">
        <f t="shared" si="5"/>
        <v>187.6717404673299</v>
      </c>
    </row>
    <row r="99" spans="1:4" x14ac:dyDescent="0.25">
      <c r="A99" s="26">
        <v>52.5</v>
      </c>
      <c r="B99" s="24">
        <f t="shared" si="3"/>
        <v>0.27984069659404309</v>
      </c>
      <c r="C99" s="21">
        <f t="shared" si="4"/>
        <v>0.46229406327707595</v>
      </c>
      <c r="D99" s="55">
        <f t="shared" si="5"/>
        <v>184.91762531083037</v>
      </c>
    </row>
    <row r="100" spans="1:4" x14ac:dyDescent="0.25">
      <c r="A100" s="26">
        <v>53</v>
      </c>
      <c r="B100" s="24">
        <f t="shared" si="3"/>
        <v>0.27572413039921095</v>
      </c>
      <c r="C100" s="21">
        <f t="shared" si="4"/>
        <v>0.45547403976012413</v>
      </c>
      <c r="D100" s="55">
        <f t="shared" si="5"/>
        <v>182.18961590404965</v>
      </c>
    </row>
    <row r="101" spans="1:4" x14ac:dyDescent="0.25">
      <c r="A101" s="26">
        <v>53.5</v>
      </c>
      <c r="B101" s="24">
        <f t="shared" si="3"/>
        <v>0.27164621797877153</v>
      </c>
      <c r="C101" s="21">
        <f t="shared" si="4"/>
        <v>0.44871805496814365</v>
      </c>
      <c r="D101" s="55">
        <f t="shared" si="5"/>
        <v>179.48722198725747</v>
      </c>
    </row>
    <row r="102" spans="1:4" x14ac:dyDescent="0.25">
      <c r="A102" s="26">
        <v>54</v>
      </c>
      <c r="B102" s="24">
        <f t="shared" si="3"/>
        <v>0.26760624017703144</v>
      </c>
      <c r="C102" s="21">
        <f t="shared" si="4"/>
        <v>0.44202491745697714</v>
      </c>
      <c r="D102" s="55">
        <f t="shared" si="5"/>
        <v>176.80996698279085</v>
      </c>
    </row>
    <row r="103" spans="1:4" x14ac:dyDescent="0.25">
      <c r="A103" s="26">
        <v>54.5</v>
      </c>
      <c r="B103" s="24">
        <f t="shared" si="3"/>
        <v>0.2636034977233575</v>
      </c>
      <c r="C103" s="21">
        <f t="shared" si="4"/>
        <v>0.4353934687265697</v>
      </c>
      <c r="D103" s="55">
        <f t="shared" si="5"/>
        <v>174.15738749062788</v>
      </c>
    </row>
    <row r="104" spans="1:4" x14ac:dyDescent="0.25">
      <c r="A104" s="26">
        <v>55</v>
      </c>
      <c r="B104" s="24">
        <f t="shared" si="3"/>
        <v>0.25963731050575611</v>
      </c>
      <c r="C104" s="21">
        <f t="shared" si="4"/>
        <v>0.42882258201748852</v>
      </c>
      <c r="D104" s="55">
        <f t="shared" si="5"/>
        <v>171.52903280699542</v>
      </c>
    </row>
    <row r="105" spans="1:4" x14ac:dyDescent="0.25">
      <c r="A105" s="26">
        <v>55.5</v>
      </c>
      <c r="B105" s="24">
        <f t="shared" si="3"/>
        <v>0.25570701687732372</v>
      </c>
      <c r="C105" s="21">
        <f t="shared" si="4"/>
        <v>0.42231116116190143</v>
      </c>
      <c r="D105" s="55">
        <f t="shared" si="5"/>
        <v>168.92446446476058</v>
      </c>
    </row>
    <row r="106" spans="1:4" x14ac:dyDescent="0.25">
      <c r="A106" s="26">
        <v>56</v>
      </c>
      <c r="B106" s="24">
        <f t="shared" si="3"/>
        <v>0.25181197299379954</v>
      </c>
      <c r="C106" s="21">
        <f t="shared" si="4"/>
        <v>0.41585813948608269</v>
      </c>
      <c r="D106" s="55">
        <f t="shared" si="5"/>
        <v>166.34325579443308</v>
      </c>
    </row>
    <row r="107" spans="1:4" x14ac:dyDescent="0.25">
      <c r="A107" s="26">
        <v>56.5</v>
      </c>
      <c r="B107" s="24">
        <f t="shared" si="3"/>
        <v>0.2479515521805615</v>
      </c>
      <c r="C107" s="21">
        <f t="shared" si="4"/>
        <v>0.40946247876169894</v>
      </c>
      <c r="D107" s="55">
        <f t="shared" si="5"/>
        <v>163.78499150467957</v>
      </c>
    </row>
    <row r="108" spans="1:4" x14ac:dyDescent="0.25">
      <c r="A108" s="26">
        <v>57</v>
      </c>
      <c r="B108" s="24">
        <f t="shared" si="3"/>
        <v>0.24412514432750865</v>
      </c>
      <c r="C108" s="21">
        <f t="shared" si="4"/>
        <v>0.40312316820329464</v>
      </c>
      <c r="D108" s="55">
        <f t="shared" si="5"/>
        <v>161.24926728131786</v>
      </c>
    </row>
    <row r="109" spans="1:4" x14ac:dyDescent="0.25">
      <c r="A109" s="26">
        <v>57.5</v>
      </c>
      <c r="B109" s="24">
        <f t="shared" si="3"/>
        <v>0.24033215531036956</v>
      </c>
      <c r="C109" s="21">
        <f t="shared" si="4"/>
        <v>0.39683922350955858</v>
      </c>
      <c r="D109" s="55">
        <f t="shared" si="5"/>
        <v>158.73568940382344</v>
      </c>
    </row>
    <row r="110" spans="1:4" x14ac:dyDescent="0.25">
      <c r="A110" s="26">
        <v>58</v>
      </c>
      <c r="B110" s="24">
        <f t="shared" si="3"/>
        <v>0.23657200643706275</v>
      </c>
      <c r="C110" s="21">
        <f t="shared" si="4"/>
        <v>0.39060968594609469</v>
      </c>
      <c r="D110" s="55">
        <f t="shared" si="5"/>
        <v>156.24387437843788</v>
      </c>
    </row>
    <row r="111" spans="1:4" x14ac:dyDescent="0.25">
      <c r="A111" s="26">
        <v>58.5</v>
      </c>
      <c r="B111" s="24">
        <f t="shared" si="3"/>
        <v>0.23284413391781958</v>
      </c>
      <c r="C111" s="21">
        <f t="shared" si="4"/>
        <v>0.3844336214675606</v>
      </c>
      <c r="D111" s="55">
        <f t="shared" si="5"/>
        <v>153.77344858702423</v>
      </c>
    </row>
    <row r="112" spans="1:4" x14ac:dyDescent="0.25">
      <c r="A112" s="26">
        <v>59</v>
      </c>
      <c r="B112" s="24">
        <f t="shared" si="3"/>
        <v>0.22914798835785583</v>
      </c>
      <c r="C112" s="21">
        <f t="shared" si="4"/>
        <v>0.3783101198771634</v>
      </c>
      <c r="D112" s="55">
        <f t="shared" si="5"/>
        <v>151.32404795086535</v>
      </c>
    </row>
    <row r="113" spans="1:4" x14ac:dyDescent="0.25">
      <c r="A113" s="26">
        <v>59.5</v>
      </c>
      <c r="B113" s="24">
        <f t="shared" si="3"/>
        <v>0.22548303427145044</v>
      </c>
      <c r="C113" s="21">
        <f t="shared" si="4"/>
        <v>0.37223829402162101</v>
      </c>
      <c r="D113" s="55">
        <f t="shared" si="5"/>
        <v>148.89531760864841</v>
      </c>
    </row>
    <row r="114" spans="1:4" x14ac:dyDescent="0.25">
      <c r="A114" s="26">
        <v>60</v>
      </c>
      <c r="B114" s="24">
        <f t="shared" si="3"/>
        <v>0.22184874961635639</v>
      </c>
      <c r="C114" s="21">
        <f t="shared" si="4"/>
        <v>0.36621727901980844</v>
      </c>
      <c r="D114" s="55">
        <f t="shared" si="5"/>
        <v>146.48691160792339</v>
      </c>
    </row>
    <row r="115" spans="1:4" x14ac:dyDescent="0.25">
      <c r="A115" s="26">
        <v>60.5</v>
      </c>
      <c r="B115" s="24">
        <f t="shared" si="3"/>
        <v>0.21824462534753111</v>
      </c>
      <c r="C115" s="21">
        <f t="shared" si="4"/>
        <v>0.3602462315234114</v>
      </c>
      <c r="D115" s="55">
        <f t="shared" si="5"/>
        <v>144.09849260936457</v>
      </c>
    </row>
    <row r="116" spans="1:4" x14ac:dyDescent="0.25">
      <c r="A116" s="26">
        <v>61</v>
      </c>
      <c r="B116" s="24">
        <f t="shared" si="3"/>
        <v>0.21467016498923297</v>
      </c>
      <c r="C116" s="21">
        <f t="shared" si="4"/>
        <v>0.35432432900800692</v>
      </c>
      <c r="D116" s="55">
        <f t="shared" si="5"/>
        <v>141.72973160320277</v>
      </c>
    </row>
    <row r="117" spans="1:4" x14ac:dyDescent="0.25">
      <c r="A117" s="26">
        <v>61.5</v>
      </c>
      <c r="B117" s="24">
        <f t="shared" si="3"/>
        <v>0.21112488422458328</v>
      </c>
      <c r="C117" s="21">
        <f t="shared" si="4"/>
        <v>0.34845076909308031</v>
      </c>
      <c r="D117" s="55">
        <f t="shared" si="5"/>
        <v>139.38030763723214</v>
      </c>
    </row>
    <row r="118" spans="1:4" x14ac:dyDescent="0.25">
      <c r="A118" s="26">
        <v>62</v>
      </c>
      <c r="B118" s="24">
        <f t="shared" si="3"/>
        <v>0.20760831050174613</v>
      </c>
      <c r="C118" s="21">
        <f t="shared" si="4"/>
        <v>0.34262476888957277</v>
      </c>
      <c r="D118" s="55">
        <f t="shared" si="5"/>
        <v>137.04990755582912</v>
      </c>
    </row>
    <row r="119" spans="1:4" x14ac:dyDescent="0.25">
      <c r="A119" s="26">
        <v>62.5</v>
      </c>
      <c r="B119" s="24">
        <f t="shared" si="3"/>
        <v>0.20411998265592479</v>
      </c>
      <c r="C119" s="21">
        <f t="shared" si="4"/>
        <v>0.33684556437363283</v>
      </c>
      <c r="D119" s="55">
        <f t="shared" si="5"/>
        <v>134.73822574945314</v>
      </c>
    </row>
    <row r="120" spans="1:4" x14ac:dyDescent="0.25">
      <c r="A120" s="26">
        <v>63</v>
      </c>
      <c r="B120" s="24">
        <f t="shared" si="3"/>
        <v>0.20065945054641829</v>
      </c>
      <c r="C120" s="21">
        <f t="shared" si="4"/>
        <v>0.33111240978531858</v>
      </c>
      <c r="D120" s="55">
        <f t="shared" si="5"/>
        <v>132.44496391412744</v>
      </c>
    </row>
    <row r="121" spans="1:4" x14ac:dyDescent="0.25">
      <c r="A121" s="26">
        <v>63.5</v>
      </c>
      <c r="B121" s="24">
        <f t="shared" si="3"/>
        <v>0.19722627470802431</v>
      </c>
      <c r="C121" s="21">
        <f t="shared" si="4"/>
        <v>0.32542457705106742</v>
      </c>
      <c r="D121" s="55">
        <f t="shared" si="5"/>
        <v>130.16983082042697</v>
      </c>
    </row>
    <row r="122" spans="1:4" x14ac:dyDescent="0.25">
      <c r="A122" s="26">
        <v>64</v>
      </c>
      <c r="B122" s="24">
        <f t="shared" si="3"/>
        <v>0.19382002601611281</v>
      </c>
      <c r="C122" s="21">
        <f t="shared" si="4"/>
        <v>0.31978135522881512</v>
      </c>
      <c r="D122" s="55">
        <f t="shared" si="5"/>
        <v>127.91254209152605</v>
      </c>
    </row>
    <row r="123" spans="1:4" x14ac:dyDescent="0.25">
      <c r="A123" s="26">
        <v>64.5</v>
      </c>
      <c r="B123" s="24">
        <f t="shared" si="3"/>
        <v>0.19044028536473223</v>
      </c>
      <c r="C123" s="21">
        <f t="shared" si="4"/>
        <v>0.3141820499747055</v>
      </c>
      <c r="D123" s="55">
        <f t="shared" si="5"/>
        <v>125.6728199898822</v>
      </c>
    </row>
    <row r="124" spans="1:4" x14ac:dyDescent="0.25">
      <c r="A124" s="26">
        <v>65</v>
      </c>
      <c r="B124" s="24">
        <f t="shared" si="3"/>
        <v>0.18708664335714442</v>
      </c>
      <c r="C124" s="21">
        <f t="shared" si="4"/>
        <v>0.30862598303039168</v>
      </c>
      <c r="D124" s="55">
        <f t="shared" si="5"/>
        <v>123.45039321215667</v>
      </c>
    </row>
    <row r="125" spans="1:4" x14ac:dyDescent="0.25">
      <c r="A125" s="26">
        <v>65.5</v>
      </c>
      <c r="B125" s="24">
        <f t="shared" si="3"/>
        <v>0.18375870000821692</v>
      </c>
      <c r="C125" s="21">
        <f t="shared" si="4"/>
        <v>0.30311249172998167</v>
      </c>
      <c r="D125" s="55">
        <f t="shared" si="5"/>
        <v>121.24499669199267</v>
      </c>
    </row>
    <row r="126" spans="1:4" x14ac:dyDescent="0.25">
      <c r="A126" s="26">
        <v>66</v>
      </c>
      <c r="B126" s="24">
        <f t="shared" si="3"/>
        <v>0.18045606445813131</v>
      </c>
      <c r="C126" s="21">
        <f t="shared" si="4"/>
        <v>0.29764092852573115</v>
      </c>
      <c r="D126" s="55">
        <f t="shared" si="5"/>
        <v>119.05637141029246</v>
      </c>
    </row>
    <row r="127" spans="1:4" x14ac:dyDescent="0.25">
      <c r="A127" s="26">
        <v>66.5</v>
      </c>
      <c r="B127" s="24">
        <f t="shared" si="3"/>
        <v>0.17717835469689538</v>
      </c>
      <c r="C127" s="21">
        <f t="shared" si="4"/>
        <v>0.2922106605316358</v>
      </c>
      <c r="D127" s="55">
        <f t="shared" si="5"/>
        <v>116.88426421265432</v>
      </c>
    </row>
    <row r="128" spans="1:4" x14ac:dyDescent="0.25">
      <c r="A128" s="26">
        <v>67</v>
      </c>
      <c r="B128" s="24">
        <f t="shared" si="3"/>
        <v>0.17392519729917355</v>
      </c>
      <c r="C128" s="21">
        <f t="shared" si="4"/>
        <v>0.28682106908411786</v>
      </c>
      <c r="D128" s="55">
        <f t="shared" si="5"/>
        <v>114.72842763364714</v>
      </c>
    </row>
    <row r="129" spans="1:4" x14ac:dyDescent="0.25">
      <c r="A129" s="26">
        <v>67.5</v>
      </c>
      <c r="B129" s="24">
        <f t="shared" si="3"/>
        <v>0.17069622716897506</v>
      </c>
      <c r="C129" s="21">
        <f t="shared" si="4"/>
        <v>0.28147154931904417</v>
      </c>
      <c r="D129" s="55">
        <f t="shared" si="5"/>
        <v>112.58861972761767</v>
      </c>
    </row>
    <row r="130" spans="1:4" x14ac:dyDescent="0.25">
      <c r="A130" s="26">
        <v>68</v>
      </c>
      <c r="B130" s="24">
        <f t="shared" ref="B130:B192" si="6">(-LOG(A130/100))</f>
        <v>0.16749108729376366</v>
      </c>
      <c r="C130" s="21">
        <f t="shared" si="4"/>
        <v>0.27616150976435333</v>
      </c>
      <c r="D130" s="55">
        <f t="shared" si="5"/>
        <v>110.46460390574133</v>
      </c>
    </row>
    <row r="131" spans="1:4" x14ac:dyDescent="0.25">
      <c r="A131" s="26">
        <v>68.5</v>
      </c>
      <c r="B131" s="24">
        <f t="shared" si="6"/>
        <v>0.16430942850757441</v>
      </c>
      <c r="C131" s="21">
        <f t="shared" ref="C131:C193" si="7">((B131-$G$15)/$G$16)</f>
        <v>0.27089037194760507</v>
      </c>
      <c r="D131" s="55">
        <f t="shared" ref="D131:D194" si="8">C131*400</f>
        <v>108.35614877904203</v>
      </c>
    </row>
    <row r="132" spans="1:4" x14ac:dyDescent="0.25">
      <c r="A132" s="26">
        <v>69</v>
      </c>
      <c r="B132" s="24">
        <f t="shared" si="6"/>
        <v>0.16115090926274472</v>
      </c>
      <c r="C132" s="21">
        <f t="shared" si="7"/>
        <v>0.26565757001780105</v>
      </c>
      <c r="D132" s="55">
        <f t="shared" si="8"/>
        <v>106.26302800712043</v>
      </c>
    </row>
    <row r="133" spans="1:4" x14ac:dyDescent="0.25">
      <c r="A133" s="26">
        <v>69.5</v>
      </c>
      <c r="B133" s="24">
        <f t="shared" si="6"/>
        <v>0.15801519540988615</v>
      </c>
      <c r="C133" s="21">
        <f t="shared" si="7"/>
        <v>0.26046255038085842</v>
      </c>
      <c r="D133" s="55">
        <f t="shared" si="8"/>
        <v>104.18502015234337</v>
      </c>
    </row>
    <row r="134" spans="1:4" x14ac:dyDescent="0.25">
      <c r="A134" s="26">
        <v>70</v>
      </c>
      <c r="B134" s="24">
        <f t="shared" si="6"/>
        <v>0.15490195998574319</v>
      </c>
      <c r="C134" s="21">
        <f t="shared" si="7"/>
        <v>0.25530477134814972</v>
      </c>
      <c r="D134" s="55">
        <f t="shared" si="8"/>
        <v>102.12190853925989</v>
      </c>
    </row>
    <row r="135" spans="1:4" x14ac:dyDescent="0.25">
      <c r="A135" s="26">
        <v>70.5</v>
      </c>
      <c r="B135" s="24">
        <f t="shared" si="6"/>
        <v>0.15181088300860132</v>
      </c>
      <c r="C135" s="21">
        <f t="shared" si="7"/>
        <v>0.25018370279755026</v>
      </c>
      <c r="D135" s="55">
        <f t="shared" si="8"/>
        <v>100.0734811190201</v>
      </c>
    </row>
    <row r="136" spans="1:4" x14ac:dyDescent="0.25">
      <c r="A136" s="26">
        <v>71</v>
      </c>
      <c r="B136" s="24">
        <f t="shared" si="6"/>
        <v>0.14874165128092473</v>
      </c>
      <c r="C136" s="21">
        <f t="shared" si="7"/>
        <v>0.24509882584646245</v>
      </c>
      <c r="D136" s="55">
        <f t="shared" si="8"/>
        <v>98.039530338584981</v>
      </c>
    </row>
    <row r="137" spans="1:4" x14ac:dyDescent="0.25">
      <c r="A137" s="26">
        <v>71.5</v>
      </c>
      <c r="B137" s="24">
        <f t="shared" si="6"/>
        <v>0.14569395819891939</v>
      </c>
      <c r="C137" s="21">
        <f t="shared" si="7"/>
        <v>0.24004963253631442</v>
      </c>
      <c r="D137" s="55">
        <f t="shared" si="8"/>
        <v>96.019853014525765</v>
      </c>
    </row>
    <row r="138" spans="1:4" x14ac:dyDescent="0.25">
      <c r="A138" s="26">
        <v>72</v>
      </c>
      <c r="B138" s="24">
        <f t="shared" si="6"/>
        <v>0.14266750356873156</v>
      </c>
      <c r="C138" s="21">
        <f t="shared" si="7"/>
        <v>0.23503562552805096</v>
      </c>
      <c r="D138" s="55">
        <f t="shared" si="8"/>
        <v>94.014250211220386</v>
      </c>
    </row>
    <row r="139" spans="1:4" x14ac:dyDescent="0.25">
      <c r="A139" s="26">
        <v>72.5</v>
      </c>
      <c r="B139" s="24">
        <f t="shared" si="6"/>
        <v>0.13966199342900631</v>
      </c>
      <c r="C139" s="21">
        <f t="shared" si="7"/>
        <v>0.23005631780816155</v>
      </c>
      <c r="D139" s="55">
        <f t="shared" si="8"/>
        <v>92.022527123264624</v>
      </c>
    </row>
    <row r="140" spans="1:4" x14ac:dyDescent="0.25">
      <c r="A140" s="26">
        <v>73</v>
      </c>
      <c r="B140" s="24">
        <f t="shared" si="6"/>
        <v>0.13667713987954411</v>
      </c>
      <c r="C140" s="21">
        <f t="shared" si="7"/>
        <v>0.22511123240481132</v>
      </c>
      <c r="D140" s="55">
        <f t="shared" si="8"/>
        <v>90.044492961924533</v>
      </c>
    </row>
    <row r="141" spans="1:4" x14ac:dyDescent="0.25">
      <c r="A141" s="26">
        <v>73.5</v>
      </c>
      <c r="B141" s="24">
        <f t="shared" si="6"/>
        <v>0.13371266091580511</v>
      </c>
      <c r="C141" s="21">
        <f t="shared" si="7"/>
        <v>0.22019990211365989</v>
      </c>
      <c r="D141" s="55">
        <f t="shared" si="8"/>
        <v>88.079960845463958</v>
      </c>
    </row>
    <row r="142" spans="1:4" x14ac:dyDescent="0.25">
      <c r="A142" s="26">
        <v>74</v>
      </c>
      <c r="B142" s="24">
        <f t="shared" si="6"/>
        <v>0.13076828026902382</v>
      </c>
      <c r="C142" s="21">
        <f t="shared" si="7"/>
        <v>0.21532186923297517</v>
      </c>
      <c r="D142" s="55">
        <f t="shared" si="8"/>
        <v>86.128747693190064</v>
      </c>
    </row>
    <row r="143" spans="1:4" x14ac:dyDescent="0.25">
      <c r="A143" s="26">
        <v>74.5</v>
      </c>
      <c r="B143" s="24">
        <f t="shared" si="6"/>
        <v>0.12784372725170717</v>
      </c>
      <c r="C143" s="21">
        <f t="shared" si="7"/>
        <v>0.21047668530766594</v>
      </c>
      <c r="D143" s="55">
        <f t="shared" si="8"/>
        <v>84.190674123066373</v>
      </c>
    </row>
    <row r="144" spans="1:4" x14ac:dyDescent="0.25">
      <c r="A144" s="26">
        <v>75</v>
      </c>
      <c r="B144" s="24">
        <f t="shared" si="6"/>
        <v>0.12493873660829995</v>
      </c>
      <c r="C144" s="21">
        <f t="shared" si="7"/>
        <v>0.20566391088187533</v>
      </c>
      <c r="D144" s="55">
        <f t="shared" si="8"/>
        <v>82.265564352750133</v>
      </c>
    </row>
    <row r="145" spans="1:4" x14ac:dyDescent="0.25">
      <c r="A145" s="26">
        <v>75.5</v>
      </c>
      <c r="B145" s="24">
        <f t="shared" si="6"/>
        <v>0.12205304837081175</v>
      </c>
      <c r="C145" s="21">
        <f t="shared" si="7"/>
        <v>0.20088311525979416</v>
      </c>
      <c r="D145" s="55">
        <f t="shared" si="8"/>
        <v>80.35324610391767</v>
      </c>
    </row>
    <row r="146" spans="1:4" x14ac:dyDescent="0.25">
      <c r="A146" s="26">
        <v>76</v>
      </c>
      <c r="B146" s="24">
        <f t="shared" si="6"/>
        <v>0.11918640771920865</v>
      </c>
      <c r="C146" s="21">
        <f t="shared" si="7"/>
        <v>0.19613387627436821</v>
      </c>
      <c r="D146" s="55">
        <f t="shared" si="8"/>
        <v>78.453550509747288</v>
      </c>
    </row>
    <row r="147" spans="1:4" x14ac:dyDescent="0.25">
      <c r="A147" s="26">
        <v>76.5</v>
      </c>
      <c r="B147" s="24">
        <f t="shared" si="6"/>
        <v>0.11633856484638239</v>
      </c>
      <c r="C147" s="21">
        <f t="shared" si="7"/>
        <v>0.19141578006358911</v>
      </c>
      <c r="D147" s="55">
        <f t="shared" si="8"/>
        <v>76.56631202543565</v>
      </c>
    </row>
    <row r="148" spans="1:4" x14ac:dyDescent="0.25">
      <c r="A148" s="26">
        <v>77</v>
      </c>
      <c r="B148" s="24">
        <f t="shared" si="6"/>
        <v>0.11350927482751812</v>
      </c>
      <c r="C148" s="21">
        <f t="shared" si="7"/>
        <v>0.18672842085407243</v>
      </c>
      <c r="D148" s="55">
        <f t="shared" si="8"/>
        <v>74.691368341628973</v>
      </c>
    </row>
    <row r="149" spans="1:4" x14ac:dyDescent="0.25">
      <c r="A149" s="26">
        <v>77.5</v>
      </c>
      <c r="B149" s="24">
        <f t="shared" si="6"/>
        <v>0.1106982974936897</v>
      </c>
      <c r="C149" s="21">
        <f t="shared" si="7"/>
        <v>0.18207140075163966</v>
      </c>
      <c r="D149" s="55">
        <f t="shared" si="8"/>
        <v>72.828560300655866</v>
      </c>
    </row>
    <row r="150" spans="1:4" x14ac:dyDescent="0.25">
      <c r="A150" s="26">
        <v>78</v>
      </c>
      <c r="B150" s="24">
        <f t="shared" si="6"/>
        <v>0.10790539730951958</v>
      </c>
      <c r="C150" s="21">
        <f t="shared" si="7"/>
        <v>0.17744432953863415</v>
      </c>
      <c r="D150" s="55">
        <f t="shared" si="8"/>
        <v>70.977731815453666</v>
      </c>
    </row>
    <row r="151" spans="1:4" x14ac:dyDescent="0.25">
      <c r="A151" s="26">
        <v>78.5</v>
      </c>
      <c r="B151" s="24">
        <f t="shared" si="6"/>
        <v>0.10513034325474745</v>
      </c>
      <c r="C151" s="21">
        <f t="shared" si="7"/>
        <v>0.1728468244777128</v>
      </c>
      <c r="D151" s="55">
        <f t="shared" si="8"/>
        <v>69.138729791085112</v>
      </c>
    </row>
    <row r="152" spans="1:4" x14ac:dyDescent="0.25">
      <c r="A152" s="26">
        <v>79</v>
      </c>
      <c r="B152" s="24">
        <f t="shared" si="6"/>
        <v>0.10237290870955855</v>
      </c>
      <c r="C152" s="21">
        <f t="shared" si="7"/>
        <v>0.1682785101218664</v>
      </c>
      <c r="D152" s="55">
        <f t="shared" si="8"/>
        <v>67.311404048746553</v>
      </c>
    </row>
    <row r="153" spans="1:4" x14ac:dyDescent="0.25">
      <c r="A153" s="26">
        <v>79.5</v>
      </c>
      <c r="B153" s="24">
        <f t="shared" si="6"/>
        <v>9.9632871343529689E-2</v>
      </c>
      <c r="C153" s="21">
        <f t="shared" si="7"/>
        <v>0.16373901813043354</v>
      </c>
      <c r="D153" s="55">
        <f t="shared" si="8"/>
        <v>65.495607252173414</v>
      </c>
    </row>
    <row r="154" spans="1:4" x14ac:dyDescent="0.25">
      <c r="A154" s="26">
        <v>80</v>
      </c>
      <c r="B154" s="24">
        <f t="shared" si="6"/>
        <v>9.6910013008056392E-2</v>
      </c>
      <c r="C154" s="21">
        <f t="shared" si="7"/>
        <v>0.15922798709088204</v>
      </c>
      <c r="D154" s="55">
        <f t="shared" si="8"/>
        <v>63.691194836352814</v>
      </c>
    </row>
    <row r="155" spans="1:4" x14ac:dyDescent="0.25">
      <c r="A155" s="26">
        <v>80.5</v>
      </c>
      <c r="B155" s="24">
        <f t="shared" si="6"/>
        <v>9.4204119632131461E-2</v>
      </c>
      <c r="C155" s="21">
        <f t="shared" si="7"/>
        <v>0.15474506234614224</v>
      </c>
      <c r="D155" s="55">
        <f t="shared" si="8"/>
        <v>61.898024938456899</v>
      </c>
    </row>
    <row r="156" spans="1:4" x14ac:dyDescent="0.25">
      <c r="A156" s="26">
        <v>81</v>
      </c>
      <c r="B156" s="24">
        <f t="shared" si="6"/>
        <v>9.1514981121350217E-2</v>
      </c>
      <c r="C156" s="21">
        <f t="shared" si="7"/>
        <v>0.15028989582728663</v>
      </c>
      <c r="D156" s="55">
        <f t="shared" si="8"/>
        <v>60.115958330914651</v>
      </c>
    </row>
    <row r="157" spans="1:4" x14ac:dyDescent="0.25">
      <c r="A157" s="26">
        <v>81.5</v>
      </c>
      <c r="B157" s="24">
        <f t="shared" si="6"/>
        <v>8.8842391260023412E-2</v>
      </c>
      <c r="C157" s="21">
        <f t="shared" si="7"/>
        <v>0.14586214589135754</v>
      </c>
      <c r="D157" s="55">
        <f t="shared" si="8"/>
        <v>58.344858356543014</v>
      </c>
    </row>
    <row r="158" spans="1:4" x14ac:dyDescent="0.25">
      <c r="A158" s="26">
        <v>82</v>
      </c>
      <c r="B158" s="24">
        <f t="shared" si="6"/>
        <v>8.6186147616283335E-2</v>
      </c>
      <c r="C158" s="21">
        <f t="shared" si="7"/>
        <v>0.14146147716415397</v>
      </c>
      <c r="D158" s="55">
        <f t="shared" si="8"/>
        <v>56.584590865661589</v>
      </c>
    </row>
    <row r="159" spans="1:4" x14ac:dyDescent="0.25">
      <c r="A159" s="26">
        <v>82.5</v>
      </c>
      <c r="B159" s="24">
        <f t="shared" si="6"/>
        <v>8.3546051450074932E-2</v>
      </c>
      <c r="C159" s="21">
        <f t="shared" si="7"/>
        <v>0.1370875603877981</v>
      </c>
      <c r="D159" s="55">
        <f t="shared" si="8"/>
        <v>54.835024155119235</v>
      </c>
    </row>
    <row r="160" spans="1:4" x14ac:dyDescent="0.25">
      <c r="A160" s="26">
        <v>83</v>
      </c>
      <c r="B160" s="24">
        <f t="shared" si="6"/>
        <v>8.092190762392612E-2</v>
      </c>
      <c r="C160" s="21">
        <f t="shared" si="7"/>
        <v>0.1327400722729061</v>
      </c>
      <c r="D160" s="55">
        <f t="shared" si="8"/>
        <v>53.096028909162442</v>
      </c>
    </row>
    <row r="161" spans="1:4" x14ac:dyDescent="0.25">
      <c r="A161" s="26">
        <v>83.5</v>
      </c>
      <c r="B161" s="24">
        <f t="shared" si="6"/>
        <v>7.8313524516397934E-2</v>
      </c>
      <c r="C161" s="21">
        <f t="shared" si="7"/>
        <v>0.1284186953551987</v>
      </c>
      <c r="D161" s="55">
        <f t="shared" si="8"/>
        <v>51.367478142079484</v>
      </c>
    </row>
    <row r="162" spans="1:4" x14ac:dyDescent="0.25">
      <c r="A162" s="26">
        <v>84</v>
      </c>
      <c r="B162" s="24">
        <f t="shared" si="6"/>
        <v>7.5720713938118356E-2</v>
      </c>
      <c r="C162" s="21">
        <f t="shared" si="7"/>
        <v>0.12412311785639224</v>
      </c>
      <c r="D162" s="55">
        <f t="shared" si="8"/>
        <v>49.649247142556895</v>
      </c>
    </row>
    <row r="163" spans="1:4" x14ac:dyDescent="0.25">
      <c r="A163" s="26">
        <v>84.5</v>
      </c>
      <c r="B163" s="24">
        <f t="shared" si="6"/>
        <v>7.3143291050307674E-2</v>
      </c>
      <c r="C163" s="21">
        <f t="shared" si="7"/>
        <v>0.11985303354921749</v>
      </c>
      <c r="D163" s="55">
        <f t="shared" si="8"/>
        <v>47.941213419686996</v>
      </c>
    </row>
    <row r="164" spans="1:4" x14ac:dyDescent="0.25">
      <c r="A164" s="26">
        <v>85</v>
      </c>
      <c r="B164" s="24">
        <f t="shared" si="6"/>
        <v>7.0581074285707285E-2</v>
      </c>
      <c r="C164" s="21">
        <f t="shared" si="7"/>
        <v>0.11560814162642029</v>
      </c>
      <c r="D164" s="55">
        <f t="shared" si="8"/>
        <v>46.243256650568114</v>
      </c>
    </row>
    <row r="165" spans="1:4" x14ac:dyDescent="0.25">
      <c r="A165" s="26">
        <v>85.5</v>
      </c>
      <c r="B165" s="24">
        <f t="shared" si="6"/>
        <v>6.8033885271827368E-2</v>
      </c>
      <c r="C165" s="21">
        <f t="shared" si="7"/>
        <v>0.11138814657360399</v>
      </c>
      <c r="D165" s="55">
        <f t="shared" si="8"/>
        <v>44.555258629441596</v>
      </c>
    </row>
    <row r="166" spans="1:4" x14ac:dyDescent="0.25">
      <c r="A166" s="26">
        <v>86</v>
      </c>
      <c r="B166" s="24">
        <f t="shared" si="6"/>
        <v>6.5501548756432285E-2</v>
      </c>
      <c r="C166" s="21">
        <f t="shared" si="7"/>
        <v>0.10719275804577913</v>
      </c>
      <c r="D166" s="55">
        <f t="shared" si="8"/>
        <v>42.877103218311653</v>
      </c>
    </row>
    <row r="167" spans="1:4" x14ac:dyDescent="0.25">
      <c r="A167" s="26">
        <v>86.5</v>
      </c>
      <c r="B167" s="24">
        <f t="shared" si="6"/>
        <v>6.2983892535185784E-2</v>
      </c>
      <c r="C167" s="21">
        <f t="shared" si="7"/>
        <v>0.10302169074749135</v>
      </c>
      <c r="D167" s="55">
        <f t="shared" si="8"/>
        <v>41.208676298996537</v>
      </c>
    </row>
    <row r="168" spans="1:4" x14ac:dyDescent="0.25">
      <c r="A168" s="26">
        <v>87</v>
      </c>
      <c r="B168" s="24">
        <f t="shared" si="6"/>
        <v>6.0480747381381476E-2</v>
      </c>
      <c r="C168" s="21">
        <f t="shared" si="7"/>
        <v>9.8874664316404029E-2</v>
      </c>
      <c r="D168" s="55">
        <f t="shared" si="8"/>
        <v>39.549865726561613</v>
      </c>
    </row>
    <row r="169" spans="1:4" x14ac:dyDescent="0.25">
      <c r="A169" s="26">
        <v>87.5</v>
      </c>
      <c r="B169" s="24">
        <f t="shared" si="6"/>
        <v>5.7991946977686754E-2</v>
      </c>
      <c r="C169" s="21">
        <f t="shared" si="7"/>
        <v>9.475140321021662E-2</v>
      </c>
      <c r="D169" s="55">
        <f t="shared" si="8"/>
        <v>37.900561284086649</v>
      </c>
    </row>
    <row r="170" spans="1:4" x14ac:dyDescent="0.25">
      <c r="A170" s="26">
        <v>88</v>
      </c>
      <c r="B170" s="24">
        <f t="shared" si="6"/>
        <v>5.551732784983137E-2</v>
      </c>
      <c r="C170" s="21">
        <f t="shared" si="7"/>
        <v>9.065163659680478E-2</v>
      </c>
      <c r="D170" s="55">
        <f t="shared" si="8"/>
        <v>36.26065463872191</v>
      </c>
    </row>
    <row r="171" spans="1:4" x14ac:dyDescent="0.25">
      <c r="A171" s="26">
        <v>88.5</v>
      </c>
      <c r="B171" s="24">
        <f t="shared" si="6"/>
        <v>5.305672930217456E-2</v>
      </c>
      <c r="C171" s="21">
        <f t="shared" si="7"/>
        <v>8.6575098247472754E-2</v>
      </c>
      <c r="D171" s="55">
        <f t="shared" si="8"/>
        <v>34.630039298989104</v>
      </c>
    </row>
    <row r="172" spans="1:4" x14ac:dyDescent="0.25">
      <c r="A172" s="26">
        <v>89</v>
      </c>
      <c r="B172" s="24">
        <f t="shared" si="6"/>
        <v>5.0609993355087209E-2</v>
      </c>
      <c r="C172" s="21">
        <f t="shared" si="7"/>
        <v>8.2521526433212727E-2</v>
      </c>
      <c r="D172" s="55">
        <f t="shared" si="8"/>
        <v>33.00861057328509</v>
      </c>
    </row>
    <row r="173" spans="1:4" x14ac:dyDescent="0.25">
      <c r="A173" s="26">
        <v>89.5</v>
      </c>
      <c r="B173" s="24">
        <f t="shared" si="6"/>
        <v>4.8176964684088018E-2</v>
      </c>
      <c r="C173" s="21">
        <f t="shared" si="7"/>
        <v>7.8490663823870141E-2</v>
      </c>
      <c r="D173" s="55">
        <f t="shared" si="8"/>
        <v>31.396265529548057</v>
      </c>
    </row>
    <row r="174" spans="1:4" x14ac:dyDescent="0.25">
      <c r="A174" s="26">
        <v>90</v>
      </c>
      <c r="B174" s="24">
        <f t="shared" si="6"/>
        <v>4.5757490560675115E-2</v>
      </c>
      <c r="C174" s="21">
        <f t="shared" si="7"/>
        <v>7.4482257390117809E-2</v>
      </c>
      <c r="D174" s="55">
        <f t="shared" si="8"/>
        <v>29.792902956047122</v>
      </c>
    </row>
    <row r="175" spans="1:4" x14ac:dyDescent="0.25">
      <c r="A175" s="26">
        <v>90.5</v>
      </c>
      <c r="B175" s="24">
        <f t="shared" si="6"/>
        <v>4.3351420794796675E-2</v>
      </c>
      <c r="C175" s="21">
        <f t="shared" si="7"/>
        <v>7.0496058308145579E-2</v>
      </c>
      <c r="D175" s="55">
        <f t="shared" si="8"/>
        <v>28.198423323258233</v>
      </c>
    </row>
    <row r="176" spans="1:4" x14ac:dyDescent="0.25">
      <c r="A176" s="26">
        <v>91</v>
      </c>
      <c r="B176" s="24">
        <f t="shared" si="6"/>
        <v>4.0958607678906384E-2</v>
      </c>
      <c r="C176" s="21">
        <f t="shared" si="7"/>
        <v>6.6531821866975441E-2</v>
      </c>
      <c r="D176" s="55">
        <f t="shared" si="8"/>
        <v>26.612728746790175</v>
      </c>
    </row>
    <row r="177" spans="1:4" x14ac:dyDescent="0.25">
      <c r="A177" s="26">
        <v>91.5</v>
      </c>
      <c r="B177" s="24">
        <f t="shared" si="6"/>
        <v>3.8578905933551705E-2</v>
      </c>
      <c r="C177" s="21">
        <f t="shared" si="7"/>
        <v>6.2589307378316278E-2</v>
      </c>
      <c r="D177" s="55">
        <f t="shared" si="8"/>
        <v>25.035722951326512</v>
      </c>
    </row>
    <row r="178" spans="1:4" x14ac:dyDescent="0.25">
      <c r="A178" s="26">
        <v>92</v>
      </c>
      <c r="B178" s="24">
        <f t="shared" si="6"/>
        <v>3.6212172654444715E-2</v>
      </c>
      <c r="C178" s="21">
        <f t="shared" si="7"/>
        <v>5.8668278088874606E-2</v>
      </c>
      <c r="D178" s="55">
        <f t="shared" si="8"/>
        <v>23.467311235549843</v>
      </c>
    </row>
    <row r="179" spans="1:4" x14ac:dyDescent="0.25">
      <c r="A179" s="26">
        <v>92.5</v>
      </c>
      <c r="B179" s="24">
        <f t="shared" si="6"/>
        <v>3.385826726096737E-2</v>
      </c>
      <c r="C179" s="21">
        <f t="shared" si="7"/>
        <v>5.4768501095042027E-2</v>
      </c>
      <c r="D179" s="55">
        <f t="shared" si="8"/>
        <v>21.907400438016811</v>
      </c>
    </row>
    <row r="180" spans="1:4" x14ac:dyDescent="0.25">
      <c r="A180" s="26">
        <v>93</v>
      </c>
      <c r="B180" s="24">
        <f t="shared" si="6"/>
        <v>3.1517051446064863E-2</v>
      </c>
      <c r="C180" s="21">
        <f t="shared" si="7"/>
        <v>5.0889747259882143E-2</v>
      </c>
      <c r="D180" s="55">
        <f t="shared" si="8"/>
        <v>20.355898903952856</v>
      </c>
    </row>
    <row r="181" spans="1:4" x14ac:dyDescent="0.25">
      <c r="A181" s="26">
        <v>93.5</v>
      </c>
      <c r="B181" s="24">
        <f t="shared" si="6"/>
        <v>2.91883891274822E-2</v>
      </c>
      <c r="C181" s="21">
        <f t="shared" si="7"/>
        <v>4.7031791132342946E-2</v>
      </c>
      <c r="D181" s="55">
        <f t="shared" si="8"/>
        <v>18.812716452937178</v>
      </c>
    </row>
    <row r="182" spans="1:4" x14ac:dyDescent="0.25">
      <c r="A182" s="26">
        <v>94</v>
      </c>
      <c r="B182" s="24">
        <f t="shared" si="6"/>
        <v>2.6872146400301365E-2</v>
      </c>
      <c r="C182" s="21">
        <f t="shared" si="7"/>
        <v>4.3194410868623863E-2</v>
      </c>
      <c r="D182" s="55">
        <f t="shared" si="8"/>
        <v>17.277764347449544</v>
      </c>
    </row>
    <row r="183" spans="1:4" x14ac:dyDescent="0.25">
      <c r="A183" s="26">
        <v>94.5</v>
      </c>
      <c r="B183" s="24">
        <f t="shared" si="6"/>
        <v>2.4568191490737076E-2</v>
      </c>
      <c r="C183" s="21">
        <f t="shared" si="7"/>
        <v>3.9377388155628024E-2</v>
      </c>
      <c r="D183" s="55">
        <f t="shared" si="8"/>
        <v>15.75095526225121</v>
      </c>
    </row>
    <row r="184" spans="1:4" x14ac:dyDescent="0.25">
      <c r="A184" s="26">
        <v>95</v>
      </c>
      <c r="B184" s="24">
        <f t="shared" si="6"/>
        <v>2.2276394711152253E-2</v>
      </c>
      <c r="C184" s="21">
        <f t="shared" si="7"/>
        <v>3.5580508136435145E-2</v>
      </c>
      <c r="D184" s="55">
        <f t="shared" si="8"/>
        <v>14.232203254574058</v>
      </c>
    </row>
    <row r="185" spans="1:4" x14ac:dyDescent="0.25">
      <c r="A185" s="26">
        <v>95.5</v>
      </c>
      <c r="B185" s="24">
        <f t="shared" si="6"/>
        <v>1.9996628416253676E-2</v>
      </c>
      <c r="C185" s="21">
        <f t="shared" si="7"/>
        <v>3.1803559337729749E-2</v>
      </c>
      <c r="D185" s="55">
        <f t="shared" si="8"/>
        <v>12.7214237350919</v>
      </c>
    </row>
    <row r="186" spans="1:4" x14ac:dyDescent="0.25">
      <c r="A186" s="26">
        <v>96</v>
      </c>
      <c r="B186" s="24">
        <f t="shared" si="6"/>
        <v>1.7728766960431602E-2</v>
      </c>
      <c r="C186" s="21">
        <f t="shared" si="7"/>
        <v>2.804633359912459E-2</v>
      </c>
      <c r="D186" s="55">
        <f t="shared" si="8"/>
        <v>11.218533439649836</v>
      </c>
    </row>
    <row r="187" spans="1:4" x14ac:dyDescent="0.25">
      <c r="A187" s="26">
        <v>96.5</v>
      </c>
      <c r="B187" s="24">
        <f t="shared" si="6"/>
        <v>1.5472686656207449E-2</v>
      </c>
      <c r="C187" s="21">
        <f t="shared" si="7"/>
        <v>2.4308626004319829E-2</v>
      </c>
      <c r="D187" s="55">
        <f t="shared" si="8"/>
        <v>9.7234504017279324</v>
      </c>
    </row>
    <row r="188" spans="1:4" x14ac:dyDescent="0.25">
      <c r="A188" s="26">
        <v>97</v>
      </c>
      <c r="B188" s="24">
        <f t="shared" si="6"/>
        <v>1.322826573375516E-2</v>
      </c>
      <c r="C188" s="21">
        <f t="shared" si="7"/>
        <v>2.0590234814041021E-2</v>
      </c>
      <c r="D188" s="55">
        <f t="shared" si="8"/>
        <v>8.2360939256164087</v>
      </c>
    </row>
    <row r="189" spans="1:4" x14ac:dyDescent="0.25">
      <c r="A189" s="26">
        <v>97.5</v>
      </c>
      <c r="B189" s="24">
        <f t="shared" si="6"/>
        <v>1.0995384301463193E-2</v>
      </c>
      <c r="C189" s="21">
        <f t="shared" si="7"/>
        <v>1.6890961400701114E-2</v>
      </c>
      <c r="D189" s="55">
        <f t="shared" si="8"/>
        <v>6.7563845602804458</v>
      </c>
    </row>
    <row r="190" spans="1:4" x14ac:dyDescent="0.25">
      <c r="A190" s="26">
        <v>98</v>
      </c>
      <c r="B190" s="24">
        <v>8.9999999999999993E-3</v>
      </c>
      <c r="C190" s="21">
        <f t="shared" si="7"/>
        <v>1.3585155732273027E-2</v>
      </c>
      <c r="D190" s="55">
        <f t="shared" si="8"/>
        <v>5.4340622929092106</v>
      </c>
    </row>
    <row r="191" spans="1:4" x14ac:dyDescent="0.25">
      <c r="A191" s="26">
        <v>98.5</v>
      </c>
      <c r="B191" s="24">
        <f t="shared" si="6"/>
        <v>6.5637695023882739E-3</v>
      </c>
      <c r="C191" s="21">
        <f t="shared" si="7"/>
        <v>9.5489885725451844E-3</v>
      </c>
      <c r="D191" s="55">
        <f t="shared" si="8"/>
        <v>3.8195954290180736</v>
      </c>
    </row>
    <row r="192" spans="1:4" x14ac:dyDescent="0.25">
      <c r="A192" s="26">
        <v>99</v>
      </c>
      <c r="B192" s="24">
        <f t="shared" si="6"/>
        <v>4.3648054024500883E-3</v>
      </c>
      <c r="C192" s="21">
        <f t="shared" si="7"/>
        <v>5.9059068960405706E-3</v>
      </c>
      <c r="D192" s="55">
        <f t="shared" si="8"/>
        <v>2.3623627584162281</v>
      </c>
    </row>
    <row r="193" spans="1:4" x14ac:dyDescent="0.25">
      <c r="A193" s="26">
        <v>99.5</v>
      </c>
      <c r="B193" s="24">
        <f>(-LOG(A193/100))</f>
        <v>2.176919254274547E-3</v>
      </c>
      <c r="C193" s="21">
        <f t="shared" si="7"/>
        <v>2.2811783536688984E-3</v>
      </c>
      <c r="D193" s="55">
        <f t="shared" si="8"/>
        <v>0.91247134146755937</v>
      </c>
    </row>
    <row r="194" spans="1:4" x14ac:dyDescent="0.25">
      <c r="A194" s="26">
        <v>100</v>
      </c>
      <c r="B194" s="24">
        <f>(-LOG(A194/100))</f>
        <v>0</v>
      </c>
      <c r="C194" s="21">
        <v>0</v>
      </c>
      <c r="D194" s="55">
        <f t="shared" si="8"/>
        <v>0</v>
      </c>
    </row>
  </sheetData>
  <autoFilter ref="A1:D1"/>
  <mergeCells count="5">
    <mergeCell ref="G2:G3"/>
    <mergeCell ref="H2:H3"/>
    <mergeCell ref="I2:I3"/>
    <mergeCell ref="J2:J3"/>
    <mergeCell ref="E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zoomScale="110" zoomScaleNormal="110" workbookViewId="0">
      <selection activeCell="G12" sqref="G12"/>
    </sheetView>
  </sheetViews>
  <sheetFormatPr baseColWidth="10" defaultColWidth="11.42578125" defaultRowHeight="15" x14ac:dyDescent="0.25"/>
  <cols>
    <col min="1" max="1" width="19.42578125" customWidth="1"/>
    <col min="2" max="2" width="13" customWidth="1"/>
    <col min="3" max="3" width="14.140625" customWidth="1"/>
    <col min="4" max="7" width="18.28515625" customWidth="1"/>
    <col min="9" max="9" width="4" customWidth="1"/>
    <col min="257" max="257" width="19.42578125" customWidth="1"/>
    <col min="258" max="258" width="13" customWidth="1"/>
    <col min="259" max="259" width="14.140625" customWidth="1"/>
    <col min="260" max="263" width="18.28515625" customWidth="1"/>
    <col min="265" max="265" width="4" customWidth="1"/>
    <col min="513" max="513" width="19.42578125" customWidth="1"/>
    <col min="514" max="514" width="13" customWidth="1"/>
    <col min="515" max="515" width="14.140625" customWidth="1"/>
    <col min="516" max="519" width="18.28515625" customWidth="1"/>
    <col min="521" max="521" width="4" customWidth="1"/>
    <col min="769" max="769" width="19.42578125" customWidth="1"/>
    <col min="770" max="770" width="13" customWidth="1"/>
    <col min="771" max="771" width="14.140625" customWidth="1"/>
    <col min="772" max="775" width="18.28515625" customWidth="1"/>
    <col min="777" max="777" width="4" customWidth="1"/>
    <col min="1025" max="1025" width="19.42578125" customWidth="1"/>
    <col min="1026" max="1026" width="13" customWidth="1"/>
    <col min="1027" max="1027" width="14.140625" customWidth="1"/>
    <col min="1028" max="1031" width="18.28515625" customWidth="1"/>
    <col min="1033" max="1033" width="4" customWidth="1"/>
    <col min="1281" max="1281" width="19.42578125" customWidth="1"/>
    <col min="1282" max="1282" width="13" customWidth="1"/>
    <col min="1283" max="1283" width="14.140625" customWidth="1"/>
    <col min="1284" max="1287" width="18.28515625" customWidth="1"/>
    <col min="1289" max="1289" width="4" customWidth="1"/>
    <col min="1537" max="1537" width="19.42578125" customWidth="1"/>
    <col min="1538" max="1538" width="13" customWidth="1"/>
    <col min="1539" max="1539" width="14.140625" customWidth="1"/>
    <col min="1540" max="1543" width="18.28515625" customWidth="1"/>
    <col min="1545" max="1545" width="4" customWidth="1"/>
    <col min="1793" max="1793" width="19.42578125" customWidth="1"/>
    <col min="1794" max="1794" width="13" customWidth="1"/>
    <col min="1795" max="1795" width="14.140625" customWidth="1"/>
    <col min="1796" max="1799" width="18.28515625" customWidth="1"/>
    <col min="1801" max="1801" width="4" customWidth="1"/>
    <col min="2049" max="2049" width="19.42578125" customWidth="1"/>
    <col min="2050" max="2050" width="13" customWidth="1"/>
    <col min="2051" max="2051" width="14.140625" customWidth="1"/>
    <col min="2052" max="2055" width="18.28515625" customWidth="1"/>
    <col min="2057" max="2057" width="4" customWidth="1"/>
    <col min="2305" max="2305" width="19.42578125" customWidth="1"/>
    <col min="2306" max="2306" width="13" customWidth="1"/>
    <col min="2307" max="2307" width="14.140625" customWidth="1"/>
    <col min="2308" max="2311" width="18.28515625" customWidth="1"/>
    <col min="2313" max="2313" width="4" customWidth="1"/>
    <col min="2561" max="2561" width="19.42578125" customWidth="1"/>
    <col min="2562" max="2562" width="13" customWidth="1"/>
    <col min="2563" max="2563" width="14.140625" customWidth="1"/>
    <col min="2564" max="2567" width="18.28515625" customWidth="1"/>
    <col min="2569" max="2569" width="4" customWidth="1"/>
    <col min="2817" max="2817" width="19.42578125" customWidth="1"/>
    <col min="2818" max="2818" width="13" customWidth="1"/>
    <col min="2819" max="2819" width="14.140625" customWidth="1"/>
    <col min="2820" max="2823" width="18.28515625" customWidth="1"/>
    <col min="2825" max="2825" width="4" customWidth="1"/>
    <col min="3073" max="3073" width="19.42578125" customWidth="1"/>
    <col min="3074" max="3074" width="13" customWidth="1"/>
    <col min="3075" max="3075" width="14.140625" customWidth="1"/>
    <col min="3076" max="3079" width="18.28515625" customWidth="1"/>
    <col min="3081" max="3081" width="4" customWidth="1"/>
    <col min="3329" max="3329" width="19.42578125" customWidth="1"/>
    <col min="3330" max="3330" width="13" customWidth="1"/>
    <col min="3331" max="3331" width="14.140625" customWidth="1"/>
    <col min="3332" max="3335" width="18.28515625" customWidth="1"/>
    <col min="3337" max="3337" width="4" customWidth="1"/>
    <col min="3585" max="3585" width="19.42578125" customWidth="1"/>
    <col min="3586" max="3586" width="13" customWidth="1"/>
    <col min="3587" max="3587" width="14.140625" customWidth="1"/>
    <col min="3588" max="3591" width="18.28515625" customWidth="1"/>
    <col min="3593" max="3593" width="4" customWidth="1"/>
    <col min="3841" max="3841" width="19.42578125" customWidth="1"/>
    <col min="3842" max="3842" width="13" customWidth="1"/>
    <col min="3843" max="3843" width="14.140625" customWidth="1"/>
    <col min="3844" max="3847" width="18.28515625" customWidth="1"/>
    <col min="3849" max="3849" width="4" customWidth="1"/>
    <col min="4097" max="4097" width="19.42578125" customWidth="1"/>
    <col min="4098" max="4098" width="13" customWidth="1"/>
    <col min="4099" max="4099" width="14.140625" customWidth="1"/>
    <col min="4100" max="4103" width="18.28515625" customWidth="1"/>
    <col min="4105" max="4105" width="4" customWidth="1"/>
    <col min="4353" max="4353" width="19.42578125" customWidth="1"/>
    <col min="4354" max="4354" width="13" customWidth="1"/>
    <col min="4355" max="4355" width="14.140625" customWidth="1"/>
    <col min="4356" max="4359" width="18.28515625" customWidth="1"/>
    <col min="4361" max="4361" width="4" customWidth="1"/>
    <col min="4609" max="4609" width="19.42578125" customWidth="1"/>
    <col min="4610" max="4610" width="13" customWidth="1"/>
    <col min="4611" max="4611" width="14.140625" customWidth="1"/>
    <col min="4612" max="4615" width="18.28515625" customWidth="1"/>
    <col min="4617" max="4617" width="4" customWidth="1"/>
    <col min="4865" max="4865" width="19.42578125" customWidth="1"/>
    <col min="4866" max="4866" width="13" customWidth="1"/>
    <col min="4867" max="4867" width="14.140625" customWidth="1"/>
    <col min="4868" max="4871" width="18.28515625" customWidth="1"/>
    <col min="4873" max="4873" width="4" customWidth="1"/>
    <col min="5121" max="5121" width="19.42578125" customWidth="1"/>
    <col min="5122" max="5122" width="13" customWidth="1"/>
    <col min="5123" max="5123" width="14.140625" customWidth="1"/>
    <col min="5124" max="5127" width="18.28515625" customWidth="1"/>
    <col min="5129" max="5129" width="4" customWidth="1"/>
    <col min="5377" max="5377" width="19.42578125" customWidth="1"/>
    <col min="5378" max="5378" width="13" customWidth="1"/>
    <col min="5379" max="5379" width="14.140625" customWidth="1"/>
    <col min="5380" max="5383" width="18.28515625" customWidth="1"/>
    <col min="5385" max="5385" width="4" customWidth="1"/>
    <col min="5633" max="5633" width="19.42578125" customWidth="1"/>
    <col min="5634" max="5634" width="13" customWidth="1"/>
    <col min="5635" max="5635" width="14.140625" customWidth="1"/>
    <col min="5636" max="5639" width="18.28515625" customWidth="1"/>
    <col min="5641" max="5641" width="4" customWidth="1"/>
    <col min="5889" max="5889" width="19.42578125" customWidth="1"/>
    <col min="5890" max="5890" width="13" customWidth="1"/>
    <col min="5891" max="5891" width="14.140625" customWidth="1"/>
    <col min="5892" max="5895" width="18.28515625" customWidth="1"/>
    <col min="5897" max="5897" width="4" customWidth="1"/>
    <col min="6145" max="6145" width="19.42578125" customWidth="1"/>
    <col min="6146" max="6146" width="13" customWidth="1"/>
    <col min="6147" max="6147" width="14.140625" customWidth="1"/>
    <col min="6148" max="6151" width="18.28515625" customWidth="1"/>
    <col min="6153" max="6153" width="4" customWidth="1"/>
    <col min="6401" max="6401" width="19.42578125" customWidth="1"/>
    <col min="6402" max="6402" width="13" customWidth="1"/>
    <col min="6403" max="6403" width="14.140625" customWidth="1"/>
    <col min="6404" max="6407" width="18.28515625" customWidth="1"/>
    <col min="6409" max="6409" width="4" customWidth="1"/>
    <col min="6657" max="6657" width="19.42578125" customWidth="1"/>
    <col min="6658" max="6658" width="13" customWidth="1"/>
    <col min="6659" max="6659" width="14.140625" customWidth="1"/>
    <col min="6660" max="6663" width="18.28515625" customWidth="1"/>
    <col min="6665" max="6665" width="4" customWidth="1"/>
    <col min="6913" max="6913" width="19.42578125" customWidth="1"/>
    <col min="6914" max="6914" width="13" customWidth="1"/>
    <col min="6915" max="6915" width="14.140625" customWidth="1"/>
    <col min="6916" max="6919" width="18.28515625" customWidth="1"/>
    <col min="6921" max="6921" width="4" customWidth="1"/>
    <col min="7169" max="7169" width="19.42578125" customWidth="1"/>
    <col min="7170" max="7170" width="13" customWidth="1"/>
    <col min="7171" max="7171" width="14.140625" customWidth="1"/>
    <col min="7172" max="7175" width="18.28515625" customWidth="1"/>
    <col min="7177" max="7177" width="4" customWidth="1"/>
    <col min="7425" max="7425" width="19.42578125" customWidth="1"/>
    <col min="7426" max="7426" width="13" customWidth="1"/>
    <col min="7427" max="7427" width="14.140625" customWidth="1"/>
    <col min="7428" max="7431" width="18.28515625" customWidth="1"/>
    <col min="7433" max="7433" width="4" customWidth="1"/>
    <col min="7681" max="7681" width="19.42578125" customWidth="1"/>
    <col min="7682" max="7682" width="13" customWidth="1"/>
    <col min="7683" max="7683" width="14.140625" customWidth="1"/>
    <col min="7684" max="7687" width="18.28515625" customWidth="1"/>
    <col min="7689" max="7689" width="4" customWidth="1"/>
    <col min="7937" max="7937" width="19.42578125" customWidth="1"/>
    <col min="7938" max="7938" width="13" customWidth="1"/>
    <col min="7939" max="7939" width="14.140625" customWidth="1"/>
    <col min="7940" max="7943" width="18.28515625" customWidth="1"/>
    <col min="7945" max="7945" width="4" customWidth="1"/>
    <col min="8193" max="8193" width="19.42578125" customWidth="1"/>
    <col min="8194" max="8194" width="13" customWidth="1"/>
    <col min="8195" max="8195" width="14.140625" customWidth="1"/>
    <col min="8196" max="8199" width="18.28515625" customWidth="1"/>
    <col min="8201" max="8201" width="4" customWidth="1"/>
    <col min="8449" max="8449" width="19.42578125" customWidth="1"/>
    <col min="8450" max="8450" width="13" customWidth="1"/>
    <col min="8451" max="8451" width="14.140625" customWidth="1"/>
    <col min="8452" max="8455" width="18.28515625" customWidth="1"/>
    <col min="8457" max="8457" width="4" customWidth="1"/>
    <col min="8705" max="8705" width="19.42578125" customWidth="1"/>
    <col min="8706" max="8706" width="13" customWidth="1"/>
    <col min="8707" max="8707" width="14.140625" customWidth="1"/>
    <col min="8708" max="8711" width="18.28515625" customWidth="1"/>
    <col min="8713" max="8713" width="4" customWidth="1"/>
    <col min="8961" max="8961" width="19.42578125" customWidth="1"/>
    <col min="8962" max="8962" width="13" customWidth="1"/>
    <col min="8963" max="8963" width="14.140625" customWidth="1"/>
    <col min="8964" max="8967" width="18.28515625" customWidth="1"/>
    <col min="8969" max="8969" width="4" customWidth="1"/>
    <col min="9217" max="9217" width="19.42578125" customWidth="1"/>
    <col min="9218" max="9218" width="13" customWidth="1"/>
    <col min="9219" max="9219" width="14.140625" customWidth="1"/>
    <col min="9220" max="9223" width="18.28515625" customWidth="1"/>
    <col min="9225" max="9225" width="4" customWidth="1"/>
    <col min="9473" max="9473" width="19.42578125" customWidth="1"/>
    <col min="9474" max="9474" width="13" customWidth="1"/>
    <col min="9475" max="9475" width="14.140625" customWidth="1"/>
    <col min="9476" max="9479" width="18.28515625" customWidth="1"/>
    <col min="9481" max="9481" width="4" customWidth="1"/>
    <col min="9729" max="9729" width="19.42578125" customWidth="1"/>
    <col min="9730" max="9730" width="13" customWidth="1"/>
    <col min="9731" max="9731" width="14.140625" customWidth="1"/>
    <col min="9732" max="9735" width="18.28515625" customWidth="1"/>
    <col min="9737" max="9737" width="4" customWidth="1"/>
    <col min="9985" max="9985" width="19.42578125" customWidth="1"/>
    <col min="9986" max="9986" width="13" customWidth="1"/>
    <col min="9987" max="9987" width="14.140625" customWidth="1"/>
    <col min="9988" max="9991" width="18.28515625" customWidth="1"/>
    <col min="9993" max="9993" width="4" customWidth="1"/>
    <col min="10241" max="10241" width="19.42578125" customWidth="1"/>
    <col min="10242" max="10242" width="13" customWidth="1"/>
    <col min="10243" max="10243" width="14.140625" customWidth="1"/>
    <col min="10244" max="10247" width="18.28515625" customWidth="1"/>
    <col min="10249" max="10249" width="4" customWidth="1"/>
    <col min="10497" max="10497" width="19.42578125" customWidth="1"/>
    <col min="10498" max="10498" width="13" customWidth="1"/>
    <col min="10499" max="10499" width="14.140625" customWidth="1"/>
    <col min="10500" max="10503" width="18.28515625" customWidth="1"/>
    <col min="10505" max="10505" width="4" customWidth="1"/>
    <col min="10753" max="10753" width="19.42578125" customWidth="1"/>
    <col min="10754" max="10754" width="13" customWidth="1"/>
    <col min="10755" max="10755" width="14.140625" customWidth="1"/>
    <col min="10756" max="10759" width="18.28515625" customWidth="1"/>
    <col min="10761" max="10761" width="4" customWidth="1"/>
    <col min="11009" max="11009" width="19.42578125" customWidth="1"/>
    <col min="11010" max="11010" width="13" customWidth="1"/>
    <col min="11011" max="11011" width="14.140625" customWidth="1"/>
    <col min="11012" max="11015" width="18.28515625" customWidth="1"/>
    <col min="11017" max="11017" width="4" customWidth="1"/>
    <col min="11265" max="11265" width="19.42578125" customWidth="1"/>
    <col min="11266" max="11266" width="13" customWidth="1"/>
    <col min="11267" max="11267" width="14.140625" customWidth="1"/>
    <col min="11268" max="11271" width="18.28515625" customWidth="1"/>
    <col min="11273" max="11273" width="4" customWidth="1"/>
    <col min="11521" max="11521" width="19.42578125" customWidth="1"/>
    <col min="11522" max="11522" width="13" customWidth="1"/>
    <col min="11523" max="11523" width="14.140625" customWidth="1"/>
    <col min="11524" max="11527" width="18.28515625" customWidth="1"/>
    <col min="11529" max="11529" width="4" customWidth="1"/>
    <col min="11777" max="11777" width="19.42578125" customWidth="1"/>
    <col min="11778" max="11778" width="13" customWidth="1"/>
    <col min="11779" max="11779" width="14.140625" customWidth="1"/>
    <col min="11780" max="11783" width="18.28515625" customWidth="1"/>
    <col min="11785" max="11785" width="4" customWidth="1"/>
    <col min="12033" max="12033" width="19.42578125" customWidth="1"/>
    <col min="12034" max="12034" width="13" customWidth="1"/>
    <col min="12035" max="12035" width="14.140625" customWidth="1"/>
    <col min="12036" max="12039" width="18.28515625" customWidth="1"/>
    <col min="12041" max="12041" width="4" customWidth="1"/>
    <col min="12289" max="12289" width="19.42578125" customWidth="1"/>
    <col min="12290" max="12290" width="13" customWidth="1"/>
    <col min="12291" max="12291" width="14.140625" customWidth="1"/>
    <col min="12292" max="12295" width="18.28515625" customWidth="1"/>
    <col min="12297" max="12297" width="4" customWidth="1"/>
    <col min="12545" max="12545" width="19.42578125" customWidth="1"/>
    <col min="12546" max="12546" width="13" customWidth="1"/>
    <col min="12547" max="12547" width="14.140625" customWidth="1"/>
    <col min="12548" max="12551" width="18.28515625" customWidth="1"/>
    <col min="12553" max="12553" width="4" customWidth="1"/>
    <col min="12801" max="12801" width="19.42578125" customWidth="1"/>
    <col min="12802" max="12802" width="13" customWidth="1"/>
    <col min="12803" max="12803" width="14.140625" customWidth="1"/>
    <col min="12804" max="12807" width="18.28515625" customWidth="1"/>
    <col min="12809" max="12809" width="4" customWidth="1"/>
    <col min="13057" max="13057" width="19.42578125" customWidth="1"/>
    <col min="13058" max="13058" width="13" customWidth="1"/>
    <col min="13059" max="13059" width="14.140625" customWidth="1"/>
    <col min="13060" max="13063" width="18.28515625" customWidth="1"/>
    <col min="13065" max="13065" width="4" customWidth="1"/>
    <col min="13313" max="13313" width="19.42578125" customWidth="1"/>
    <col min="13314" max="13314" width="13" customWidth="1"/>
    <col min="13315" max="13315" width="14.140625" customWidth="1"/>
    <col min="13316" max="13319" width="18.28515625" customWidth="1"/>
    <col min="13321" max="13321" width="4" customWidth="1"/>
    <col min="13569" max="13569" width="19.42578125" customWidth="1"/>
    <col min="13570" max="13570" width="13" customWidth="1"/>
    <col min="13571" max="13571" width="14.140625" customWidth="1"/>
    <col min="13572" max="13575" width="18.28515625" customWidth="1"/>
    <col min="13577" max="13577" width="4" customWidth="1"/>
    <col min="13825" max="13825" width="19.42578125" customWidth="1"/>
    <col min="13826" max="13826" width="13" customWidth="1"/>
    <col min="13827" max="13827" width="14.140625" customWidth="1"/>
    <col min="13828" max="13831" width="18.28515625" customWidth="1"/>
    <col min="13833" max="13833" width="4" customWidth="1"/>
    <col min="14081" max="14081" width="19.42578125" customWidth="1"/>
    <col min="14082" max="14082" width="13" customWidth="1"/>
    <col min="14083" max="14083" width="14.140625" customWidth="1"/>
    <col min="14084" max="14087" width="18.28515625" customWidth="1"/>
    <col min="14089" max="14089" width="4" customWidth="1"/>
    <col min="14337" max="14337" width="19.42578125" customWidth="1"/>
    <col min="14338" max="14338" width="13" customWidth="1"/>
    <col min="14339" max="14339" width="14.140625" customWidth="1"/>
    <col min="14340" max="14343" width="18.28515625" customWidth="1"/>
    <col min="14345" max="14345" width="4" customWidth="1"/>
    <col min="14593" max="14593" width="19.42578125" customWidth="1"/>
    <col min="14594" max="14594" width="13" customWidth="1"/>
    <col min="14595" max="14595" width="14.140625" customWidth="1"/>
    <col min="14596" max="14599" width="18.28515625" customWidth="1"/>
    <col min="14601" max="14601" width="4" customWidth="1"/>
    <col min="14849" max="14849" width="19.42578125" customWidth="1"/>
    <col min="14850" max="14850" width="13" customWidth="1"/>
    <col min="14851" max="14851" width="14.140625" customWidth="1"/>
    <col min="14852" max="14855" width="18.28515625" customWidth="1"/>
    <col min="14857" max="14857" width="4" customWidth="1"/>
    <col min="15105" max="15105" width="19.42578125" customWidth="1"/>
    <col min="15106" max="15106" width="13" customWidth="1"/>
    <col min="15107" max="15107" width="14.140625" customWidth="1"/>
    <col min="15108" max="15111" width="18.28515625" customWidth="1"/>
    <col min="15113" max="15113" width="4" customWidth="1"/>
    <col min="15361" max="15361" width="19.42578125" customWidth="1"/>
    <col min="15362" max="15362" width="13" customWidth="1"/>
    <col min="15363" max="15363" width="14.140625" customWidth="1"/>
    <col min="15364" max="15367" width="18.28515625" customWidth="1"/>
    <col min="15369" max="15369" width="4" customWidth="1"/>
    <col min="15617" max="15617" width="19.42578125" customWidth="1"/>
    <col min="15618" max="15618" width="13" customWidth="1"/>
    <col min="15619" max="15619" width="14.140625" customWidth="1"/>
    <col min="15620" max="15623" width="18.28515625" customWidth="1"/>
    <col min="15625" max="15625" width="4" customWidth="1"/>
    <col min="15873" max="15873" width="19.42578125" customWidth="1"/>
    <col min="15874" max="15874" width="13" customWidth="1"/>
    <col min="15875" max="15875" width="14.140625" customWidth="1"/>
    <col min="15876" max="15879" width="18.28515625" customWidth="1"/>
    <col min="15881" max="15881" width="4" customWidth="1"/>
    <col min="16129" max="16129" width="19.42578125" customWidth="1"/>
    <col min="16130" max="16130" width="13" customWidth="1"/>
    <col min="16131" max="16131" width="14.140625" customWidth="1"/>
    <col min="16132" max="16135" width="18.28515625" customWidth="1"/>
    <col min="16137" max="16137" width="4" customWidth="1"/>
  </cols>
  <sheetData>
    <row r="1" spans="1:7" x14ac:dyDescent="0.25">
      <c r="A1" s="62" t="s">
        <v>94</v>
      </c>
      <c r="B1" s="62" t="s">
        <v>95</v>
      </c>
      <c r="C1" s="62" t="s">
        <v>91</v>
      </c>
      <c r="D1" s="62" t="s">
        <v>96</v>
      </c>
      <c r="E1" s="62" t="s">
        <v>97</v>
      </c>
      <c r="F1" s="62" t="s">
        <v>98</v>
      </c>
      <c r="G1" s="62" t="s">
        <v>99</v>
      </c>
    </row>
    <row r="2" spans="1:7" x14ac:dyDescent="0.25">
      <c r="A2" s="63">
        <v>7.5</v>
      </c>
      <c r="B2" s="21">
        <f>(C2-$K$18)/$J$19</f>
        <v>2.627894244411916</v>
      </c>
      <c r="C2" s="20">
        <f t="shared" ref="C2:C65" si="0">(-(LOG(A2/100)))</f>
        <v>1.1249387366082999</v>
      </c>
      <c r="D2" s="63">
        <f>(B2*$J$21)/1000</f>
        <v>32.848678055148952</v>
      </c>
      <c r="E2" s="63">
        <f t="shared" ref="E2:E65" si="1">B2*$J$22</f>
        <v>87.595598848982391</v>
      </c>
      <c r="F2" s="63">
        <f t="shared" ref="F2:F65" si="2">B2*$J$23</f>
        <v>65.697356110297903</v>
      </c>
      <c r="G2" s="63">
        <f t="shared" ref="G2:G65" si="3">B2*$J$24</f>
        <v>52.55788488823832</v>
      </c>
    </row>
    <row r="3" spans="1:7" x14ac:dyDescent="0.25">
      <c r="A3" s="63">
        <v>8</v>
      </c>
      <c r="B3" s="21">
        <f>(C3-$K$18)/$J$19</f>
        <v>2.5624065724487299</v>
      </c>
      <c r="C3" s="20">
        <f t="shared" si="0"/>
        <v>1.0969100130080565</v>
      </c>
      <c r="D3" s="63">
        <f t="shared" ref="D3:D66" si="4">B3*$J$21</f>
        <v>32030.082155609125</v>
      </c>
      <c r="E3" s="63">
        <f t="shared" si="1"/>
        <v>85.412698279433513</v>
      </c>
      <c r="F3" s="63">
        <f t="shared" si="2"/>
        <v>64.060164311218244</v>
      </c>
      <c r="G3" s="63">
        <f t="shared" si="3"/>
        <v>51.248131448974597</v>
      </c>
    </row>
    <row r="4" spans="1:7" x14ac:dyDescent="0.25">
      <c r="A4" s="63">
        <v>8.5</v>
      </c>
      <c r="B4" s="21">
        <f t="shared" ref="B4:B67" si="5">(C4-$K$18)/$J$19</f>
        <v>2.5008903604806241</v>
      </c>
      <c r="C4" s="20">
        <f t="shared" si="0"/>
        <v>1.0705810742857071</v>
      </c>
      <c r="D4" s="63">
        <f t="shared" si="4"/>
        <v>31261.129506007801</v>
      </c>
      <c r="E4" s="63">
        <f t="shared" si="1"/>
        <v>83.362178385900634</v>
      </c>
      <c r="F4" s="63">
        <f t="shared" si="2"/>
        <v>62.522259012015603</v>
      </c>
      <c r="G4" s="63">
        <f t="shared" si="3"/>
        <v>50.017807209612485</v>
      </c>
    </row>
    <row r="5" spans="1:7" x14ac:dyDescent="0.25">
      <c r="A5" s="63">
        <v>9</v>
      </c>
      <c r="B5" s="21">
        <f t="shared" si="5"/>
        <v>2.4428913330856901</v>
      </c>
      <c r="C5" s="20">
        <f t="shared" si="0"/>
        <v>1.0457574905606752</v>
      </c>
      <c r="D5" s="63">
        <f t="shared" si="4"/>
        <v>30536.141663571125</v>
      </c>
      <c r="E5" s="63">
        <f t="shared" si="1"/>
        <v>81.428896805745296</v>
      </c>
      <c r="F5" s="63">
        <f t="shared" si="2"/>
        <v>61.072283327142252</v>
      </c>
      <c r="G5" s="63">
        <f t="shared" si="3"/>
        <v>48.857826661713801</v>
      </c>
    </row>
    <row r="6" spans="1:7" x14ac:dyDescent="0.25">
      <c r="A6" s="63">
        <v>9.5</v>
      </c>
      <c r="B6" s="21">
        <f t="shared" si="5"/>
        <v>2.3880289596054958</v>
      </c>
      <c r="C6" s="20">
        <f t="shared" si="0"/>
        <v>1.0222763947111522</v>
      </c>
      <c r="D6" s="63">
        <f t="shared" si="4"/>
        <v>29850.361995068699</v>
      </c>
      <c r="E6" s="63">
        <f t="shared" si="1"/>
        <v>79.600169310529992</v>
      </c>
      <c r="F6" s="63">
        <f t="shared" si="2"/>
        <v>59.700723990137391</v>
      </c>
      <c r="G6" s="63">
        <f t="shared" si="3"/>
        <v>47.760579192109915</v>
      </c>
    </row>
    <row r="7" spans="1:7" x14ac:dyDescent="0.25">
      <c r="A7" s="63">
        <v>10</v>
      </c>
      <c r="B7" s="21">
        <f t="shared" si="5"/>
        <v>2.3359813084112151</v>
      </c>
      <c r="C7" s="20">
        <f t="shared" si="0"/>
        <v>1</v>
      </c>
      <c r="D7" s="63">
        <f t="shared" si="4"/>
        <v>29199.766355140189</v>
      </c>
      <c r="E7" s="63">
        <f t="shared" si="1"/>
        <v>77.865264953271023</v>
      </c>
      <c r="F7" s="63">
        <f t="shared" si="2"/>
        <v>58.399532710280376</v>
      </c>
      <c r="G7" s="63">
        <f t="shared" si="3"/>
        <v>46.719626168224302</v>
      </c>
    </row>
    <row r="8" spans="1:7" x14ac:dyDescent="0.25">
      <c r="A8" s="63">
        <v>10.5</v>
      </c>
      <c r="B8" s="21">
        <f t="shared" si="5"/>
        <v>2.286473600303883</v>
      </c>
      <c r="C8" s="20">
        <f t="shared" si="0"/>
        <v>0.97881070093006195</v>
      </c>
      <c r="D8" s="63">
        <f t="shared" si="4"/>
        <v>28580.920003798539</v>
      </c>
      <c r="E8" s="63">
        <f t="shared" si="1"/>
        <v>76.215024518929326</v>
      </c>
      <c r="F8" s="63">
        <f t="shared" si="2"/>
        <v>57.161840007597078</v>
      </c>
      <c r="G8" s="63">
        <f t="shared" si="3"/>
        <v>45.729472006077657</v>
      </c>
    </row>
    <row r="9" spans="1:7" x14ac:dyDescent="0.25">
      <c r="A9" s="63">
        <v>11</v>
      </c>
      <c r="B9" s="21">
        <f t="shared" si="5"/>
        <v>2.239269427200409</v>
      </c>
      <c r="C9" s="20">
        <f t="shared" si="0"/>
        <v>0.95860731484177497</v>
      </c>
      <c r="D9" s="63">
        <f t="shared" si="4"/>
        <v>27990.867840005114</v>
      </c>
      <c r="E9" s="63">
        <f t="shared" si="1"/>
        <v>74.64156781687123</v>
      </c>
      <c r="F9" s="63">
        <f t="shared" si="2"/>
        <v>55.981735680010225</v>
      </c>
      <c r="G9" s="63">
        <f t="shared" si="3"/>
        <v>44.785388544008178</v>
      </c>
    </row>
    <row r="10" spans="1:7" x14ac:dyDescent="0.25">
      <c r="A10" s="63">
        <v>11.5</v>
      </c>
      <c r="B10" s="21">
        <f t="shared" si="5"/>
        <v>2.1941639244074493</v>
      </c>
      <c r="C10" s="20">
        <f t="shared" si="0"/>
        <v>0.9393021596463883</v>
      </c>
      <c r="D10" s="63">
        <f t="shared" si="4"/>
        <v>27427.049055093117</v>
      </c>
      <c r="E10" s="63">
        <f t="shared" si="1"/>
        <v>73.138066092273505</v>
      </c>
      <c r="F10" s="63">
        <f t="shared" si="2"/>
        <v>54.854098110186236</v>
      </c>
      <c r="G10" s="63">
        <f t="shared" si="3"/>
        <v>43.883278488148989</v>
      </c>
    </row>
    <row r="11" spans="1:7" x14ac:dyDescent="0.25">
      <c r="A11" s="63">
        <v>12</v>
      </c>
      <c r="B11" s="21">
        <f t="shared" si="5"/>
        <v>2.1509783970849887</v>
      </c>
      <c r="C11" s="20">
        <f t="shared" si="0"/>
        <v>0.92081875395237522</v>
      </c>
      <c r="D11" s="63">
        <f t="shared" si="4"/>
        <v>26887.22996356236</v>
      </c>
      <c r="E11" s="63">
        <f t="shared" si="1"/>
        <v>71.698562910033928</v>
      </c>
      <c r="F11" s="63">
        <f t="shared" si="2"/>
        <v>53.774459927124717</v>
      </c>
      <c r="G11" s="63">
        <f t="shared" si="3"/>
        <v>43.019567941699776</v>
      </c>
    </row>
    <row r="12" spans="1:7" x14ac:dyDescent="0.25">
      <c r="A12" s="63">
        <v>12.5</v>
      </c>
      <c r="B12" s="21">
        <f t="shared" si="5"/>
        <v>2.1095560443736998</v>
      </c>
      <c r="C12" s="20">
        <f t="shared" si="0"/>
        <v>0.90308998699194354</v>
      </c>
      <c r="D12" s="63">
        <f t="shared" si="4"/>
        <v>26369.450554671246</v>
      </c>
      <c r="E12" s="63">
        <f t="shared" si="1"/>
        <v>70.317831627108532</v>
      </c>
      <c r="F12" s="63">
        <f t="shared" si="2"/>
        <v>52.738901109342493</v>
      </c>
      <c r="G12" s="63">
        <f t="shared" si="3"/>
        <v>42.191120887474</v>
      </c>
    </row>
    <row r="13" spans="1:7" x14ac:dyDescent="0.25">
      <c r="A13" s="63">
        <v>13</v>
      </c>
      <c r="B13" s="21">
        <f t="shared" si="5"/>
        <v>2.0697585226475774</v>
      </c>
      <c r="C13" s="20">
        <f t="shared" si="0"/>
        <v>0.88605664769316317</v>
      </c>
      <c r="D13" s="63">
        <f t="shared" si="4"/>
        <v>25871.981533094717</v>
      </c>
      <c r="E13" s="63">
        <f t="shared" si="1"/>
        <v>68.991260835411694</v>
      </c>
      <c r="F13" s="63">
        <f t="shared" si="2"/>
        <v>51.743963066189437</v>
      </c>
      <c r="G13" s="63">
        <f t="shared" si="3"/>
        <v>41.395170452951547</v>
      </c>
    </row>
    <row r="14" spans="1:7" x14ac:dyDescent="0.25">
      <c r="A14" s="63">
        <v>13.5</v>
      </c>
      <c r="B14" s="21">
        <f t="shared" si="5"/>
        <v>2.0314631577219484</v>
      </c>
      <c r="C14" s="20">
        <f t="shared" si="0"/>
        <v>0.86966623150499389</v>
      </c>
      <c r="D14" s="63">
        <f t="shared" si="4"/>
        <v>25393.289471524356</v>
      </c>
      <c r="E14" s="63">
        <f t="shared" si="1"/>
        <v>67.714761436345697</v>
      </c>
      <c r="F14" s="63">
        <f t="shared" si="2"/>
        <v>50.78657894304871</v>
      </c>
      <c r="G14" s="63">
        <f t="shared" si="3"/>
        <v>40.629263154438966</v>
      </c>
    </row>
    <row r="15" spans="1:7" x14ac:dyDescent="0.25">
      <c r="A15" s="63">
        <v>14</v>
      </c>
      <c r="B15" s="21">
        <f t="shared" si="5"/>
        <v>1.9945606643031821</v>
      </c>
      <c r="C15" s="20">
        <f t="shared" si="0"/>
        <v>0.85387196432176193</v>
      </c>
      <c r="D15" s="63">
        <f t="shared" si="4"/>
        <v>24932.008303789775</v>
      </c>
      <c r="E15" s="63">
        <f t="shared" si="1"/>
        <v>66.484690623217972</v>
      </c>
      <c r="F15" s="63">
        <f t="shared" si="2"/>
        <v>49.864016607579551</v>
      </c>
      <c r="G15" s="63">
        <f t="shared" si="3"/>
        <v>39.891213286063646</v>
      </c>
    </row>
    <row r="16" spans="1:7" x14ac:dyDescent="0.25">
      <c r="A16" s="63">
        <v>14.5</v>
      </c>
      <c r="B16" s="21">
        <f t="shared" si="5"/>
        <v>1.9589532658061337</v>
      </c>
      <c r="C16" s="20">
        <f t="shared" si="0"/>
        <v>0.83863199776502517</v>
      </c>
      <c r="D16" s="63">
        <f t="shared" si="4"/>
        <v>24486.915822576673</v>
      </c>
      <c r="E16" s="63">
        <f t="shared" si="1"/>
        <v>65.297789209115848</v>
      </c>
      <c r="F16" s="63">
        <f t="shared" si="2"/>
        <v>48.973831645153339</v>
      </c>
      <c r="G16" s="63">
        <f t="shared" si="3"/>
        <v>39.179065316122674</v>
      </c>
    </row>
    <row r="17" spans="1:13" x14ac:dyDescent="0.25">
      <c r="A17" s="63">
        <v>15</v>
      </c>
      <c r="B17" s="21">
        <f t="shared" si="5"/>
        <v>1.9245531330474739</v>
      </c>
      <c r="C17" s="20">
        <f t="shared" si="0"/>
        <v>0.82390874094431876</v>
      </c>
      <c r="D17" s="63">
        <f t="shared" si="4"/>
        <v>24056.914163093425</v>
      </c>
      <c r="E17" s="63">
        <f t="shared" si="1"/>
        <v>64.151129583871437</v>
      </c>
      <c r="F17" s="63">
        <f t="shared" si="2"/>
        <v>48.113828326186848</v>
      </c>
      <c r="G17" s="63">
        <f t="shared" si="3"/>
        <v>38.491062660949481</v>
      </c>
    </row>
    <row r="18" spans="1:13" x14ac:dyDescent="0.25">
      <c r="A18" s="63">
        <v>15.5</v>
      </c>
      <c r="B18" s="21">
        <f t="shared" si="5"/>
        <v>1.891281079041375</v>
      </c>
      <c r="C18" s="20">
        <f t="shared" si="0"/>
        <v>0.8096683018297085</v>
      </c>
      <c r="D18" s="63">
        <f t="shared" si="4"/>
        <v>23641.013488017186</v>
      </c>
      <c r="E18" s="63">
        <f t="shared" si="1"/>
        <v>63.042072207686147</v>
      </c>
      <c r="F18" s="63">
        <f t="shared" si="2"/>
        <v>47.282026976034373</v>
      </c>
      <c r="G18" s="63">
        <f t="shared" si="3"/>
        <v>37.825621580827502</v>
      </c>
      <c r="I18" s="40" t="s">
        <v>100</v>
      </c>
      <c r="J18" s="40" t="s">
        <v>93</v>
      </c>
      <c r="K18" s="64">
        <v>2.0000000000000001E-4</v>
      </c>
      <c r="M18">
        <v>2.0000000000000001E-4</v>
      </c>
    </row>
    <row r="19" spans="1:13" x14ac:dyDescent="0.25">
      <c r="A19" s="63">
        <v>16</v>
      </c>
      <c r="B19" s="21">
        <f t="shared" si="5"/>
        <v>1.8590654610842881</v>
      </c>
      <c r="C19" s="20">
        <f t="shared" si="0"/>
        <v>0.79588001734407521</v>
      </c>
      <c r="D19" s="63">
        <f t="shared" si="4"/>
        <v>23238.3182635536</v>
      </c>
      <c r="E19" s="63">
        <f t="shared" si="1"/>
        <v>61.968229014322567</v>
      </c>
      <c r="F19" s="63">
        <f t="shared" si="2"/>
        <v>46.476636527107203</v>
      </c>
      <c r="G19" s="63">
        <f t="shared" si="3"/>
        <v>37.181309221685758</v>
      </c>
      <c r="J19" s="136">
        <v>0.42799999999999999</v>
      </c>
      <c r="K19" s="136"/>
      <c r="M19">
        <v>0.42799999999999999</v>
      </c>
    </row>
    <row r="20" spans="1:13" x14ac:dyDescent="0.25">
      <c r="A20" s="63">
        <v>16.5</v>
      </c>
      <c r="B20" s="21">
        <f t="shared" si="5"/>
        <v>1.8278412518366678</v>
      </c>
      <c r="C20" s="20">
        <f t="shared" si="0"/>
        <v>0.78251605578609373</v>
      </c>
      <c r="D20" s="63">
        <f t="shared" si="4"/>
        <v>22848.015647958346</v>
      </c>
      <c r="E20" s="63">
        <f t="shared" si="1"/>
        <v>60.927432447471645</v>
      </c>
      <c r="F20" s="63">
        <f t="shared" si="2"/>
        <v>45.696031295916697</v>
      </c>
      <c r="G20" s="63">
        <f t="shared" si="3"/>
        <v>36.556825036733358</v>
      </c>
    </row>
    <row r="21" spans="1:13" x14ac:dyDescent="0.25">
      <c r="A21" s="63">
        <v>17</v>
      </c>
      <c r="B21" s="21">
        <f t="shared" si="5"/>
        <v>1.7975492491161824</v>
      </c>
      <c r="C21" s="20">
        <f t="shared" si="0"/>
        <v>0.769551078621726</v>
      </c>
      <c r="D21" s="63">
        <f t="shared" si="4"/>
        <v>22469.365613952279</v>
      </c>
      <c r="E21" s="63">
        <f t="shared" si="1"/>
        <v>59.917709120789702</v>
      </c>
      <c r="F21" s="63">
        <f t="shared" si="2"/>
        <v>44.938731227904562</v>
      </c>
      <c r="G21" s="63">
        <f t="shared" si="3"/>
        <v>35.950984982323646</v>
      </c>
      <c r="I21" t="s">
        <v>101</v>
      </c>
      <c r="J21">
        <v>12500</v>
      </c>
    </row>
    <row r="22" spans="1:13" x14ac:dyDescent="0.25">
      <c r="A22" s="63">
        <v>17.5</v>
      </c>
      <c r="B22" s="21">
        <f t="shared" si="5"/>
        <v>1.7681354002656673</v>
      </c>
      <c r="C22" s="20">
        <f t="shared" si="0"/>
        <v>0.75696195131370558</v>
      </c>
      <c r="D22" s="63">
        <f t="shared" si="4"/>
        <v>22101.692503320843</v>
      </c>
      <c r="E22" s="63">
        <f t="shared" si="1"/>
        <v>58.937257297055488</v>
      </c>
      <c r="F22" s="63">
        <f t="shared" si="2"/>
        <v>44.203385006641682</v>
      </c>
      <c r="G22" s="63">
        <f t="shared" si="3"/>
        <v>35.362708005313344</v>
      </c>
      <c r="I22" t="s">
        <v>102</v>
      </c>
      <c r="J22">
        <v>33.332999999999998</v>
      </c>
    </row>
    <row r="23" spans="1:13" x14ac:dyDescent="0.25">
      <c r="A23" s="63">
        <v>18</v>
      </c>
      <c r="B23" s="21">
        <f t="shared" si="5"/>
        <v>1.7395502217212477</v>
      </c>
      <c r="C23" s="20">
        <f t="shared" si="0"/>
        <v>0.74472749489669399</v>
      </c>
      <c r="D23" s="63">
        <f t="shared" si="4"/>
        <v>21744.377771515596</v>
      </c>
      <c r="E23" s="63">
        <f t="shared" si="1"/>
        <v>57.98442754063435</v>
      </c>
      <c r="F23" s="63">
        <f t="shared" si="2"/>
        <v>43.488755543031196</v>
      </c>
      <c r="G23" s="63">
        <f t="shared" si="3"/>
        <v>34.791004434424956</v>
      </c>
      <c r="I23" t="s">
        <v>103</v>
      </c>
      <c r="J23">
        <v>25</v>
      </c>
    </row>
    <row r="24" spans="1:13" x14ac:dyDescent="0.25">
      <c r="A24" s="63">
        <v>18.5</v>
      </c>
      <c r="B24" s="21">
        <f t="shared" si="5"/>
        <v>1.7117482981237995</v>
      </c>
      <c r="C24" s="20">
        <f t="shared" si="0"/>
        <v>0.73282827159698616</v>
      </c>
      <c r="D24" s="63">
        <f t="shared" si="4"/>
        <v>21396.853726547495</v>
      </c>
      <c r="E24" s="63">
        <f t="shared" si="1"/>
        <v>57.057706021360602</v>
      </c>
      <c r="F24" s="63">
        <f t="shared" si="2"/>
        <v>42.793707453094989</v>
      </c>
      <c r="G24" s="63">
        <f t="shared" si="3"/>
        <v>34.234965962475989</v>
      </c>
      <c r="I24" t="s">
        <v>104</v>
      </c>
      <c r="J24">
        <v>20</v>
      </c>
    </row>
    <row r="25" spans="1:13" x14ac:dyDescent="0.25">
      <c r="A25" s="63">
        <v>19</v>
      </c>
      <c r="B25" s="21">
        <f t="shared" si="5"/>
        <v>1.6846878482410539</v>
      </c>
      <c r="C25" s="20">
        <f t="shared" si="0"/>
        <v>0.72124639904717103</v>
      </c>
      <c r="D25" s="63">
        <f t="shared" si="4"/>
        <v>21058.598103013173</v>
      </c>
      <c r="E25" s="63">
        <f t="shared" si="1"/>
        <v>56.155700045419046</v>
      </c>
      <c r="F25" s="63">
        <f t="shared" si="2"/>
        <v>42.11719620602635</v>
      </c>
      <c r="G25" s="63">
        <f t="shared" si="3"/>
        <v>33.693756964821077</v>
      </c>
    </row>
    <row r="26" spans="1:13" x14ac:dyDescent="0.25">
      <c r="A26" s="63">
        <v>19.5</v>
      </c>
      <c r="B26" s="21">
        <f t="shared" si="5"/>
        <v>1.6583303472838364</v>
      </c>
      <c r="C26" s="20">
        <f t="shared" si="0"/>
        <v>0.70996538863748193</v>
      </c>
      <c r="D26" s="63">
        <f t="shared" si="4"/>
        <v>20729.129341047956</v>
      </c>
      <c r="E26" s="63">
        <f t="shared" si="1"/>
        <v>55.277125466012116</v>
      </c>
      <c r="F26" s="63">
        <f t="shared" si="2"/>
        <v>41.458258682095909</v>
      </c>
      <c r="G26" s="63">
        <f t="shared" si="3"/>
        <v>33.166606945676726</v>
      </c>
    </row>
    <row r="27" spans="1:13" x14ac:dyDescent="0.25">
      <c r="A27" s="63">
        <v>20</v>
      </c>
      <c r="B27" s="21">
        <f t="shared" si="5"/>
        <v>1.6326401970467728</v>
      </c>
      <c r="C27" s="20">
        <f t="shared" si="0"/>
        <v>0.69897000433601875</v>
      </c>
      <c r="D27" s="63">
        <f t="shared" si="4"/>
        <v>20408.00246308466</v>
      </c>
      <c r="E27" s="63">
        <f t="shared" si="1"/>
        <v>54.420795688160077</v>
      </c>
      <c r="F27" s="63">
        <f t="shared" si="2"/>
        <v>40.81600492616932</v>
      </c>
      <c r="G27" s="63">
        <f t="shared" si="3"/>
        <v>32.652803940935456</v>
      </c>
    </row>
    <row r="28" spans="1:13" x14ac:dyDescent="0.25">
      <c r="A28" s="63">
        <v>20.5</v>
      </c>
      <c r="B28" s="21">
        <f t="shared" si="5"/>
        <v>1.6075844367856209</v>
      </c>
      <c r="C28" s="20">
        <f t="shared" si="0"/>
        <v>0.68824613894424569</v>
      </c>
      <c r="D28" s="63">
        <f t="shared" si="4"/>
        <v>20094.805459820262</v>
      </c>
      <c r="E28" s="63">
        <f t="shared" si="1"/>
        <v>53.585612031375099</v>
      </c>
      <c r="F28" s="63">
        <f t="shared" si="2"/>
        <v>40.189610919640522</v>
      </c>
      <c r="G28" s="63">
        <f t="shared" si="3"/>
        <v>32.151688735712419</v>
      </c>
    </row>
    <row r="29" spans="1:13" x14ac:dyDescent="0.25">
      <c r="A29" s="63">
        <v>21</v>
      </c>
      <c r="B29" s="21">
        <f t="shared" si="5"/>
        <v>1.5831324889394409</v>
      </c>
      <c r="C29" s="20">
        <f t="shared" si="0"/>
        <v>0.6777807052660807</v>
      </c>
      <c r="D29" s="63">
        <f t="shared" si="4"/>
        <v>19789.15611174301</v>
      </c>
      <c r="E29" s="63">
        <f t="shared" si="1"/>
        <v>52.77055525381838</v>
      </c>
      <c r="F29" s="63">
        <f t="shared" si="2"/>
        <v>39.578312223486023</v>
      </c>
      <c r="G29" s="63">
        <f t="shared" si="3"/>
        <v>31.662649778788818</v>
      </c>
    </row>
    <row r="30" spans="1:13" x14ac:dyDescent="0.25">
      <c r="A30" s="63">
        <v>21.5</v>
      </c>
      <c r="B30" s="21">
        <f t="shared" si="5"/>
        <v>1.5592559347766233</v>
      </c>
      <c r="C30" s="20">
        <f t="shared" si="0"/>
        <v>0.66756154008439472</v>
      </c>
      <c r="D30" s="63">
        <f t="shared" si="4"/>
        <v>19490.699184707792</v>
      </c>
      <c r="E30" s="63">
        <f t="shared" si="1"/>
        <v>51.974678073909182</v>
      </c>
      <c r="F30" s="63">
        <f t="shared" si="2"/>
        <v>38.981398369415579</v>
      </c>
      <c r="G30" s="63">
        <f t="shared" si="3"/>
        <v>31.185118695532466</v>
      </c>
    </row>
    <row r="31" spans="1:13" x14ac:dyDescent="0.25">
      <c r="A31" s="63">
        <v>22</v>
      </c>
      <c r="B31" s="21">
        <f t="shared" si="5"/>
        <v>1.5359283158359667</v>
      </c>
      <c r="C31" s="20">
        <f t="shared" si="0"/>
        <v>0.65757731917779372</v>
      </c>
      <c r="D31" s="63">
        <f t="shared" si="4"/>
        <v>19199.103947949585</v>
      </c>
      <c r="E31" s="63">
        <f t="shared" si="1"/>
        <v>51.197098551760277</v>
      </c>
      <c r="F31" s="63">
        <f t="shared" si="2"/>
        <v>38.398207895899169</v>
      </c>
      <c r="G31" s="63">
        <f t="shared" si="3"/>
        <v>30.718566316719333</v>
      </c>
    </row>
    <row r="32" spans="1:13" x14ac:dyDescent="0.25">
      <c r="A32" s="63">
        <v>22.5</v>
      </c>
      <c r="B32" s="21">
        <f t="shared" si="5"/>
        <v>1.5131249576837327</v>
      </c>
      <c r="C32" s="20">
        <f t="shared" si="0"/>
        <v>0.64781748188863753</v>
      </c>
      <c r="D32" s="63">
        <f t="shared" si="4"/>
        <v>18914.06197104666</v>
      </c>
      <c r="E32" s="63">
        <f t="shared" si="1"/>
        <v>50.436994214471859</v>
      </c>
      <c r="F32" s="63">
        <f t="shared" si="2"/>
        <v>37.828123942093313</v>
      </c>
      <c r="G32" s="63">
        <f t="shared" si="3"/>
        <v>30.262499153674653</v>
      </c>
    </row>
    <row r="33" spans="1:7" x14ac:dyDescent="0.25">
      <c r="A33" s="63">
        <v>23</v>
      </c>
      <c r="B33" s="21">
        <f t="shared" si="5"/>
        <v>1.4908228130430072</v>
      </c>
      <c r="C33" s="20">
        <f t="shared" si="0"/>
        <v>0.63827216398240705</v>
      </c>
      <c r="D33" s="63">
        <f t="shared" si="4"/>
        <v>18635.285163037592</v>
      </c>
      <c r="E33" s="63">
        <f t="shared" si="1"/>
        <v>49.693596827162558</v>
      </c>
      <c r="F33" s="63">
        <f t="shared" si="2"/>
        <v>37.27057032607518</v>
      </c>
      <c r="G33" s="63">
        <f t="shared" si="3"/>
        <v>29.816456260860143</v>
      </c>
    </row>
    <row r="34" spans="1:7" x14ac:dyDescent="0.25">
      <c r="A34" s="63">
        <v>23.5</v>
      </c>
      <c r="B34" s="21">
        <f t="shared" si="5"/>
        <v>1.4690003217950087</v>
      </c>
      <c r="C34" s="20">
        <f t="shared" si="0"/>
        <v>0.62893213772826373</v>
      </c>
      <c r="D34" s="63">
        <f t="shared" si="4"/>
        <v>18362.50402243761</v>
      </c>
      <c r="E34" s="63">
        <f t="shared" si="1"/>
        <v>48.966187726393024</v>
      </c>
      <c r="F34" s="63">
        <f t="shared" si="2"/>
        <v>36.725008044875217</v>
      </c>
      <c r="G34" s="63">
        <f t="shared" si="3"/>
        <v>29.380006435900174</v>
      </c>
    </row>
    <row r="35" spans="1:7" x14ac:dyDescent="0.25">
      <c r="A35" s="63">
        <v>24</v>
      </c>
      <c r="B35" s="21">
        <f t="shared" si="5"/>
        <v>1.4476372857205468</v>
      </c>
      <c r="C35" s="20">
        <f t="shared" si="0"/>
        <v>0.61978875828839397</v>
      </c>
      <c r="D35" s="63">
        <f t="shared" si="4"/>
        <v>18095.466071506835</v>
      </c>
      <c r="E35" s="63">
        <f t="shared" si="1"/>
        <v>48.254093644922989</v>
      </c>
      <c r="F35" s="63">
        <f t="shared" si="2"/>
        <v>36.190932143013669</v>
      </c>
      <c r="G35" s="63">
        <f t="shared" si="3"/>
        <v>28.952745714410938</v>
      </c>
    </row>
    <row r="36" spans="1:7" x14ac:dyDescent="0.25">
      <c r="A36" s="63">
        <v>24.5</v>
      </c>
      <c r="B36" s="21">
        <f t="shared" si="5"/>
        <v>1.4267147561576345</v>
      </c>
      <c r="C36" s="20">
        <f t="shared" si="0"/>
        <v>0.61083391563546752</v>
      </c>
      <c r="D36" s="63">
        <f t="shared" si="4"/>
        <v>17833.934451970432</v>
      </c>
      <c r="E36" s="63">
        <f t="shared" si="1"/>
        <v>47.55668296700243</v>
      </c>
      <c r="F36" s="63">
        <f t="shared" si="2"/>
        <v>35.667868903940864</v>
      </c>
      <c r="G36" s="63">
        <f t="shared" si="3"/>
        <v>28.534295123152692</v>
      </c>
    </row>
    <row r="37" spans="1:7" x14ac:dyDescent="0.25">
      <c r="A37" s="63">
        <v>25</v>
      </c>
      <c r="B37" s="21">
        <f t="shared" si="5"/>
        <v>1.4062149330092579</v>
      </c>
      <c r="C37" s="20">
        <f t="shared" si="0"/>
        <v>0.6020599913279624</v>
      </c>
      <c r="D37" s="63">
        <f t="shared" si="4"/>
        <v>17577.686662615724</v>
      </c>
      <c r="E37" s="63">
        <f t="shared" si="1"/>
        <v>46.873362361997593</v>
      </c>
      <c r="F37" s="63">
        <f t="shared" si="2"/>
        <v>35.155373325231452</v>
      </c>
      <c r="G37" s="63">
        <f t="shared" si="3"/>
        <v>28.124298660185158</v>
      </c>
    </row>
    <row r="38" spans="1:7" x14ac:dyDescent="0.25">
      <c r="A38" s="63">
        <v>25.5</v>
      </c>
      <c r="B38" s="21">
        <f t="shared" si="5"/>
        <v>1.3861210737524414</v>
      </c>
      <c r="C38" s="20">
        <f t="shared" si="0"/>
        <v>0.59345981956604488</v>
      </c>
      <c r="D38" s="63">
        <f t="shared" si="4"/>
        <v>17326.513421905518</v>
      </c>
      <c r="E38" s="63">
        <f t="shared" si="1"/>
        <v>46.203573751390131</v>
      </c>
      <c r="F38" s="63">
        <f t="shared" si="2"/>
        <v>34.653026843811034</v>
      </c>
      <c r="G38" s="63">
        <f t="shared" si="3"/>
        <v>27.722421475048829</v>
      </c>
    </row>
    <row r="39" spans="1:7" x14ac:dyDescent="0.25">
      <c r="A39" s="63">
        <v>26</v>
      </c>
      <c r="B39" s="21">
        <f t="shared" si="5"/>
        <v>1.3664174112831358</v>
      </c>
      <c r="C39" s="20">
        <f t="shared" si="0"/>
        <v>0.58502665202918203</v>
      </c>
      <c r="D39" s="63">
        <f t="shared" si="4"/>
        <v>17080.217641039198</v>
      </c>
      <c r="E39" s="63">
        <f t="shared" si="1"/>
        <v>45.546791570300762</v>
      </c>
      <c r="F39" s="63">
        <f t="shared" si="2"/>
        <v>34.160435282078396</v>
      </c>
      <c r="G39" s="63">
        <f t="shared" si="3"/>
        <v>27.328348225662715</v>
      </c>
    </row>
    <row r="40" spans="1:7" x14ac:dyDescent="0.25">
      <c r="A40" s="63">
        <v>26.5</v>
      </c>
      <c r="B40" s="21">
        <f t="shared" si="5"/>
        <v>1.3470890795868975</v>
      </c>
      <c r="C40" s="20">
        <f t="shared" si="0"/>
        <v>0.5767541260631921</v>
      </c>
      <c r="D40" s="63">
        <f t="shared" si="4"/>
        <v>16838.61349483622</v>
      </c>
      <c r="E40" s="63">
        <f t="shared" si="1"/>
        <v>44.902520289870054</v>
      </c>
      <c r="F40" s="63">
        <f t="shared" si="2"/>
        <v>33.677226989672434</v>
      </c>
      <c r="G40" s="63">
        <f t="shared" si="3"/>
        <v>26.94178159173795</v>
      </c>
    </row>
    <row r="41" spans="1:7" x14ac:dyDescent="0.25">
      <c r="A41" s="63">
        <v>27</v>
      </c>
      <c r="B41" s="21">
        <f t="shared" si="5"/>
        <v>1.3281220463575063</v>
      </c>
      <c r="C41" s="20">
        <f t="shared" si="0"/>
        <v>0.56863623584101264</v>
      </c>
      <c r="D41" s="63">
        <f t="shared" si="4"/>
        <v>16601.525579468827</v>
      </c>
      <c r="E41" s="63">
        <f t="shared" si="1"/>
        <v>44.270292171234757</v>
      </c>
      <c r="F41" s="63">
        <f t="shared" si="2"/>
        <v>33.203051158937654</v>
      </c>
      <c r="G41" s="63">
        <f t="shared" si="3"/>
        <v>26.562440927150128</v>
      </c>
    </row>
    <row r="42" spans="1:7" x14ac:dyDescent="0.25">
      <c r="A42" s="63">
        <v>27.5</v>
      </c>
      <c r="B42" s="21">
        <f t="shared" si="5"/>
        <v>1.3095030517984518</v>
      </c>
      <c r="C42" s="20">
        <f t="shared" si="0"/>
        <v>0.56066730616973737</v>
      </c>
      <c r="D42" s="63">
        <f t="shared" si="4"/>
        <v>16368.788147480647</v>
      </c>
      <c r="E42" s="63">
        <f t="shared" si="1"/>
        <v>43.649665225597793</v>
      </c>
      <c r="F42" s="63">
        <f t="shared" si="2"/>
        <v>32.737576294961293</v>
      </c>
      <c r="G42" s="63">
        <f t="shared" si="3"/>
        <v>26.190061035969038</v>
      </c>
    </row>
    <row r="43" spans="1:7" x14ac:dyDescent="0.25">
      <c r="A43" s="63">
        <v>28</v>
      </c>
      <c r="B43" s="21">
        <f t="shared" si="5"/>
        <v>1.2912195529387402</v>
      </c>
      <c r="C43" s="20">
        <f t="shared" si="0"/>
        <v>0.55284196865778079</v>
      </c>
      <c r="D43" s="63">
        <f t="shared" si="4"/>
        <v>16140.244411734253</v>
      </c>
      <c r="E43" s="63">
        <f t="shared" si="1"/>
        <v>43.040221358107026</v>
      </c>
      <c r="F43" s="63">
        <f t="shared" si="2"/>
        <v>32.280488823468509</v>
      </c>
      <c r="G43" s="63">
        <f t="shared" si="3"/>
        <v>25.824391058774804</v>
      </c>
    </row>
    <row r="44" spans="1:7" x14ac:dyDescent="0.25">
      <c r="A44" s="63">
        <v>28.5</v>
      </c>
      <c r="B44" s="21">
        <f t="shared" si="5"/>
        <v>1.2732596728773127</v>
      </c>
      <c r="C44" s="20">
        <f t="shared" si="0"/>
        <v>0.54515513999148979</v>
      </c>
      <c r="D44" s="63">
        <f t="shared" si="4"/>
        <v>15915.745910966409</v>
      </c>
      <c r="E44" s="63">
        <f t="shared" si="1"/>
        <v>42.44156467601946</v>
      </c>
      <c r="F44" s="63">
        <f t="shared" si="2"/>
        <v>31.831491821932818</v>
      </c>
      <c r="G44" s="63">
        <f t="shared" si="3"/>
        <v>25.465193457546253</v>
      </c>
    </row>
    <row r="45" spans="1:7" x14ac:dyDescent="0.25">
      <c r="A45" s="63">
        <v>29</v>
      </c>
      <c r="B45" s="21">
        <f t="shared" si="5"/>
        <v>1.2556121544416914</v>
      </c>
      <c r="C45" s="20">
        <f t="shared" si="0"/>
        <v>0.53760200210104392</v>
      </c>
      <c r="D45" s="63">
        <f t="shared" si="4"/>
        <v>15695.151930521142</v>
      </c>
      <c r="E45" s="63">
        <f t="shared" si="1"/>
        <v>41.853319944004895</v>
      </c>
      <c r="F45" s="63">
        <f t="shared" si="2"/>
        <v>31.390303861042284</v>
      </c>
      <c r="G45" s="63">
        <f t="shared" si="3"/>
        <v>25.112243088833829</v>
      </c>
    </row>
    <row r="46" spans="1:7" x14ac:dyDescent="0.25">
      <c r="A46" s="63">
        <v>29.5</v>
      </c>
      <c r="B46" s="21">
        <f t="shared" si="5"/>
        <v>1.2382663178080304</v>
      </c>
      <c r="C46" s="20">
        <f t="shared" si="0"/>
        <v>0.53017798402183702</v>
      </c>
      <c r="D46" s="63">
        <f t="shared" si="4"/>
        <v>15478.32897260038</v>
      </c>
      <c r="E46" s="63">
        <f t="shared" si="1"/>
        <v>41.275131171495076</v>
      </c>
      <c r="F46" s="63">
        <f t="shared" si="2"/>
        <v>30.95665794520076</v>
      </c>
      <c r="G46" s="63">
        <f t="shared" si="3"/>
        <v>24.765326356160607</v>
      </c>
    </row>
    <row r="47" spans="1:7" x14ac:dyDescent="0.25">
      <c r="A47" s="63">
        <v>30</v>
      </c>
      <c r="B47" s="21">
        <f t="shared" si="5"/>
        <v>1.221212021683032</v>
      </c>
      <c r="C47" s="20">
        <f t="shared" si="0"/>
        <v>0.52287874528033762</v>
      </c>
      <c r="D47" s="63">
        <f t="shared" si="4"/>
        <v>15265.150271037901</v>
      </c>
      <c r="E47" s="63">
        <f t="shared" si="1"/>
        <v>40.706660318760505</v>
      </c>
      <c r="F47" s="63">
        <f t="shared" si="2"/>
        <v>30.5303005420758</v>
      </c>
      <c r="G47" s="63">
        <f t="shared" si="3"/>
        <v>24.424240433660639</v>
      </c>
    </row>
    <row r="48" spans="1:7" x14ac:dyDescent="0.25">
      <c r="A48" s="63">
        <v>30.5</v>
      </c>
      <c r="B48" s="21">
        <f t="shared" si="5"/>
        <v>1.2044396276944258</v>
      </c>
      <c r="C48" s="20">
        <f t="shared" si="0"/>
        <v>0.51570016065321422</v>
      </c>
      <c r="D48" s="63">
        <f t="shared" si="4"/>
        <v>15055.495346180323</v>
      </c>
      <c r="E48" s="63">
        <f t="shared" si="1"/>
        <v>40.147586109938295</v>
      </c>
      <c r="F48" s="63">
        <f t="shared" si="2"/>
        <v>30.110990692360645</v>
      </c>
      <c r="G48" s="63">
        <f t="shared" si="3"/>
        <v>24.088792553888517</v>
      </c>
    </row>
    <row r="49" spans="1:7" x14ac:dyDescent="0.25">
      <c r="A49" s="63">
        <v>31</v>
      </c>
      <c r="B49" s="21">
        <f t="shared" si="5"/>
        <v>1.1879399676769331</v>
      </c>
      <c r="C49" s="20">
        <f t="shared" si="0"/>
        <v>0.50863830616572736</v>
      </c>
      <c r="D49" s="63">
        <f t="shared" si="4"/>
        <v>14849.249595961664</v>
      </c>
      <c r="E49" s="63">
        <f t="shared" si="1"/>
        <v>39.597602942575207</v>
      </c>
      <c r="F49" s="63">
        <f t="shared" si="2"/>
        <v>29.698499191923329</v>
      </c>
      <c r="G49" s="63">
        <f t="shared" si="3"/>
        <v>23.758799353538663</v>
      </c>
    </row>
    <row r="50" spans="1:7" x14ac:dyDescent="0.25">
      <c r="A50" s="63">
        <v>31.5</v>
      </c>
      <c r="B50" s="21">
        <f t="shared" si="5"/>
        <v>1.1717043135756997</v>
      </c>
      <c r="C50" s="20">
        <f t="shared" si="0"/>
        <v>0.50168944621039946</v>
      </c>
      <c r="D50" s="63">
        <f t="shared" si="4"/>
        <v>14646.303919696247</v>
      </c>
      <c r="E50" s="63">
        <f t="shared" si="1"/>
        <v>39.056419884418794</v>
      </c>
      <c r="F50" s="63">
        <f t="shared" si="2"/>
        <v>29.292607839392492</v>
      </c>
      <c r="G50" s="63">
        <f t="shared" si="3"/>
        <v>23.434086271513994</v>
      </c>
    </row>
    <row r="51" spans="1:7" x14ac:dyDescent="0.25">
      <c r="A51" s="63">
        <v>32</v>
      </c>
      <c r="B51" s="21">
        <f t="shared" si="5"/>
        <v>1.1557243497198459</v>
      </c>
      <c r="C51" s="20">
        <f t="shared" si="0"/>
        <v>0.49485002168009401</v>
      </c>
      <c r="D51" s="63">
        <f t="shared" si="4"/>
        <v>14446.554371498074</v>
      </c>
      <c r="E51" s="63">
        <f t="shared" si="1"/>
        <v>38.523759749211621</v>
      </c>
      <c r="F51" s="63">
        <f t="shared" si="2"/>
        <v>28.893108742996148</v>
      </c>
      <c r="G51" s="63">
        <f t="shared" si="3"/>
        <v>23.11448699439692</v>
      </c>
    </row>
    <row r="52" spans="1:7" x14ac:dyDescent="0.25">
      <c r="A52" s="63">
        <v>32.5</v>
      </c>
      <c r="B52" s="21">
        <f t="shared" si="5"/>
        <v>1.1399921472456207</v>
      </c>
      <c r="C52" s="20">
        <f t="shared" si="0"/>
        <v>0.48811663902112562</v>
      </c>
      <c r="D52" s="63">
        <f t="shared" si="4"/>
        <v>14249.901840570259</v>
      </c>
      <c r="E52" s="63">
        <f t="shared" si="1"/>
        <v>37.999358244138271</v>
      </c>
      <c r="F52" s="63">
        <f t="shared" si="2"/>
        <v>28.499803681140516</v>
      </c>
      <c r="G52" s="63">
        <f t="shared" si="3"/>
        <v>22.799842944912413</v>
      </c>
    </row>
    <row r="53" spans="1:7" x14ac:dyDescent="0.25">
      <c r="A53" s="63">
        <v>33</v>
      </c>
      <c r="B53" s="21">
        <f t="shared" si="5"/>
        <v>1.1245001404722255</v>
      </c>
      <c r="C53" s="20">
        <f t="shared" si="0"/>
        <v>0.48148606012211248</v>
      </c>
      <c r="D53" s="63">
        <f t="shared" si="4"/>
        <v>14056.251755902818</v>
      </c>
      <c r="E53" s="63">
        <f t="shared" si="1"/>
        <v>37.482963182360692</v>
      </c>
      <c r="F53" s="63">
        <f t="shared" si="2"/>
        <v>28.112503511805638</v>
      </c>
      <c r="G53" s="63">
        <f t="shared" si="3"/>
        <v>22.490002809444508</v>
      </c>
    </row>
    <row r="54" spans="1:7" x14ac:dyDescent="0.25">
      <c r="A54" s="63">
        <v>33.5</v>
      </c>
      <c r="B54" s="21">
        <f t="shared" si="5"/>
        <v>1.1092411050541</v>
      </c>
      <c r="C54" s="20">
        <f t="shared" si="0"/>
        <v>0.47495519296315475</v>
      </c>
      <c r="D54" s="63">
        <f t="shared" si="4"/>
        <v>13865.513813176251</v>
      </c>
      <c r="E54" s="63">
        <f t="shared" si="1"/>
        <v>36.974333754768317</v>
      </c>
      <c r="F54" s="63">
        <f t="shared" si="2"/>
        <v>27.7310276263525</v>
      </c>
      <c r="G54" s="63">
        <f t="shared" si="3"/>
        <v>22.184822101081998</v>
      </c>
    </row>
    <row r="55" spans="1:7" x14ac:dyDescent="0.25">
      <c r="A55" s="63">
        <v>34</v>
      </c>
      <c r="B55" s="21">
        <f t="shared" si="5"/>
        <v>1.0942081377517403</v>
      </c>
      <c r="C55" s="20">
        <f t="shared" si="0"/>
        <v>0.46852108295774486</v>
      </c>
      <c r="D55" s="63">
        <f t="shared" si="4"/>
        <v>13677.601721896754</v>
      </c>
      <c r="E55" s="63">
        <f t="shared" si="1"/>
        <v>36.473239855678756</v>
      </c>
      <c r="F55" s="63">
        <f t="shared" si="2"/>
        <v>27.355203443793506</v>
      </c>
      <c r="G55" s="63">
        <f t="shared" si="3"/>
        <v>21.884162755034808</v>
      </c>
    </row>
    <row r="56" spans="1:7" x14ac:dyDescent="0.25">
      <c r="A56" s="63">
        <v>34.5</v>
      </c>
      <c r="B56" s="21">
        <f t="shared" si="5"/>
        <v>1.0793946376792662</v>
      </c>
      <c r="C56" s="20">
        <f t="shared" si="0"/>
        <v>0.46218090492672592</v>
      </c>
      <c r="D56" s="63">
        <f t="shared" si="4"/>
        <v>13492.432970990829</v>
      </c>
      <c r="E56" s="63">
        <f t="shared" si="1"/>
        <v>35.97946145776298</v>
      </c>
      <c r="F56" s="63">
        <f t="shared" si="2"/>
        <v>26.984865941981656</v>
      </c>
      <c r="G56" s="63">
        <f t="shared" si="3"/>
        <v>21.587892753585326</v>
      </c>
    </row>
    <row r="57" spans="1:7" x14ac:dyDescent="0.25">
      <c r="A57" s="63">
        <v>35</v>
      </c>
      <c r="B57" s="21">
        <f t="shared" si="5"/>
        <v>1.0647942889012252</v>
      </c>
      <c r="C57" s="20">
        <f t="shared" si="0"/>
        <v>0.45593195564972439</v>
      </c>
      <c r="D57" s="63">
        <f t="shared" si="4"/>
        <v>13309.928611265315</v>
      </c>
      <c r="E57" s="63">
        <f t="shared" si="1"/>
        <v>35.492788031944535</v>
      </c>
      <c r="F57" s="63">
        <f t="shared" si="2"/>
        <v>26.61985722253063</v>
      </c>
      <c r="G57" s="63">
        <f t="shared" si="3"/>
        <v>21.295885778024505</v>
      </c>
    </row>
    <row r="58" spans="1:7" x14ac:dyDescent="0.25">
      <c r="A58" s="63">
        <v>35.5</v>
      </c>
      <c r="B58" s="21">
        <f t="shared" si="5"/>
        <v>1.050401044263799</v>
      </c>
      <c r="C58" s="20">
        <f t="shared" si="0"/>
        <v>0.44977164694490596</v>
      </c>
      <c r="D58" s="63">
        <f t="shared" si="4"/>
        <v>13130.013053297487</v>
      </c>
      <c r="E58" s="63">
        <f t="shared" si="1"/>
        <v>35.013018008445208</v>
      </c>
      <c r="F58" s="63">
        <f t="shared" si="2"/>
        <v>26.260026106594974</v>
      </c>
      <c r="G58" s="63">
        <f t="shared" si="3"/>
        <v>21.008020885275979</v>
      </c>
    </row>
    <row r="59" spans="1:7" x14ac:dyDescent="0.25">
      <c r="A59" s="63">
        <v>36</v>
      </c>
      <c r="B59" s="21">
        <f t="shared" si="5"/>
        <v>1.0362091103568056</v>
      </c>
      <c r="C59" s="20">
        <f t="shared" si="0"/>
        <v>0.44369749923271273</v>
      </c>
      <c r="D59" s="63">
        <f t="shared" si="4"/>
        <v>12952.61387946007</v>
      </c>
      <c r="E59" s="63">
        <f t="shared" si="1"/>
        <v>34.539958275523404</v>
      </c>
      <c r="F59" s="63">
        <f t="shared" si="2"/>
        <v>25.905227758920141</v>
      </c>
      <c r="G59" s="63">
        <f t="shared" si="3"/>
        <v>20.724182207136113</v>
      </c>
    </row>
    <row r="60" spans="1:7" x14ac:dyDescent="0.25">
      <c r="A60" s="63">
        <v>36.5</v>
      </c>
      <c r="B60" s="21">
        <f t="shared" si="5"/>
        <v>1.0222129335129098</v>
      </c>
      <c r="C60" s="20">
        <f t="shared" si="0"/>
        <v>0.43770713554352531</v>
      </c>
      <c r="D60" s="63">
        <f t="shared" si="4"/>
        <v>12777.661668911373</v>
      </c>
      <c r="E60" s="63">
        <f t="shared" si="1"/>
        <v>34.073423712785818</v>
      </c>
      <c r="F60" s="63">
        <f t="shared" si="2"/>
        <v>25.555323337822745</v>
      </c>
      <c r="G60" s="63">
        <f t="shared" si="3"/>
        <v>20.444258670258193</v>
      </c>
    </row>
    <row r="61" spans="1:7" x14ac:dyDescent="0.25">
      <c r="A61" s="63">
        <v>37</v>
      </c>
      <c r="B61" s="21">
        <f t="shared" si="5"/>
        <v>1.0084071867593576</v>
      </c>
      <c r="C61" s="20">
        <f t="shared" si="0"/>
        <v>0.43179827593300502</v>
      </c>
      <c r="D61" s="63">
        <f t="shared" si="4"/>
        <v>12605.08983449197</v>
      </c>
      <c r="E61" s="63">
        <f t="shared" si="1"/>
        <v>33.613236756249663</v>
      </c>
      <c r="F61" s="63">
        <f t="shared" si="2"/>
        <v>25.21017966898394</v>
      </c>
      <c r="G61" s="63">
        <f t="shared" si="3"/>
        <v>20.168143735187151</v>
      </c>
    </row>
    <row r="62" spans="1:7" x14ac:dyDescent="0.25">
      <c r="A62" s="63">
        <v>37.5</v>
      </c>
      <c r="B62" s="21">
        <f t="shared" si="5"/>
        <v>0.99478675764551683</v>
      </c>
      <c r="C62" s="20">
        <f t="shared" si="0"/>
        <v>0.42596873227228116</v>
      </c>
      <c r="D62" s="63">
        <f t="shared" si="4"/>
        <v>12434.83447056896</v>
      </c>
      <c r="E62" s="63">
        <f t="shared" si="1"/>
        <v>33.159226992598008</v>
      </c>
      <c r="F62" s="63">
        <f t="shared" si="2"/>
        <v>24.86966894113792</v>
      </c>
      <c r="G62" s="63">
        <f t="shared" si="3"/>
        <v>19.895735152910337</v>
      </c>
    </row>
    <row r="63" spans="1:7" x14ac:dyDescent="0.25">
      <c r="A63" s="63">
        <v>38</v>
      </c>
      <c r="B63" s="21">
        <f t="shared" si="5"/>
        <v>0.98134673687661178</v>
      </c>
      <c r="C63" s="20">
        <f t="shared" si="0"/>
        <v>0.42021640338318983</v>
      </c>
      <c r="D63" s="63">
        <f t="shared" si="4"/>
        <v>12266.834210957648</v>
      </c>
      <c r="E63" s="63">
        <f t="shared" si="1"/>
        <v>32.711230780308099</v>
      </c>
      <c r="F63" s="63">
        <f t="shared" si="2"/>
        <v>24.533668421915294</v>
      </c>
      <c r="G63" s="63">
        <f t="shared" si="3"/>
        <v>19.626934737532235</v>
      </c>
    </row>
    <row r="64" spans="1:7" x14ac:dyDescent="0.25">
      <c r="A64" s="63">
        <v>38.5</v>
      </c>
      <c r="B64" s="21">
        <f t="shared" si="5"/>
        <v>0.96808240769041898</v>
      </c>
      <c r="C64" s="20">
        <f t="shared" si="0"/>
        <v>0.4145392704914993</v>
      </c>
      <c r="D64" s="63">
        <f t="shared" si="4"/>
        <v>12101.030096130236</v>
      </c>
      <c r="E64" s="63">
        <f t="shared" si="1"/>
        <v>32.269090895544736</v>
      </c>
      <c r="F64" s="63">
        <f t="shared" si="2"/>
        <v>24.202060192260475</v>
      </c>
      <c r="G64" s="63">
        <f t="shared" si="3"/>
        <v>19.361648153808378</v>
      </c>
    </row>
    <row r="65" spans="1:7" x14ac:dyDescent="0.25">
      <c r="A65" s="63">
        <v>39</v>
      </c>
      <c r="B65" s="21">
        <f t="shared" si="5"/>
        <v>0.95498923591939444</v>
      </c>
      <c r="C65" s="20">
        <f t="shared" si="0"/>
        <v>0.40893539297350079</v>
      </c>
      <c r="D65" s="63">
        <f t="shared" si="4"/>
        <v>11937.36544899243</v>
      </c>
      <c r="E65" s="63">
        <f t="shared" si="1"/>
        <v>31.832656200901173</v>
      </c>
      <c r="F65" s="63">
        <f t="shared" si="2"/>
        <v>23.874730897984861</v>
      </c>
      <c r="G65" s="63">
        <f t="shared" si="3"/>
        <v>19.099784718387887</v>
      </c>
    </row>
    <row r="66" spans="1:7" x14ac:dyDescent="0.25">
      <c r="A66" s="63">
        <v>39.5</v>
      </c>
      <c r="B66" s="21">
        <f t="shared" si="5"/>
        <v>0.94206286068584066</v>
      </c>
      <c r="C66" s="20">
        <f t="shared" ref="C66:C129" si="6">(-(LOG(A66/100)))</f>
        <v>0.40340290437353976</v>
      </c>
      <c r="D66" s="63">
        <f t="shared" si="4"/>
        <v>11775.785758573009</v>
      </c>
      <c r="E66" s="63">
        <f t="shared" ref="E66:E129" si="7">B66*$J$22</f>
        <v>31.401781335241125</v>
      </c>
      <c r="F66" s="63">
        <f t="shared" ref="F66:F129" si="8">B66*$J$23</f>
        <v>23.551571517146016</v>
      </c>
      <c r="G66" s="63">
        <f t="shared" ref="G66:G129" si="9">B66*$J$24</f>
        <v>18.841257213716812</v>
      </c>
    </row>
    <row r="67" spans="1:7" x14ac:dyDescent="0.25">
      <c r="A67" s="63">
        <v>40</v>
      </c>
      <c r="B67" s="21">
        <f t="shared" si="5"/>
        <v>0.92929908568233088</v>
      </c>
      <c r="C67" s="20">
        <f t="shared" si="6"/>
        <v>0.3979400086720376</v>
      </c>
      <c r="D67" s="63">
        <f t="shared" ref="D67:D130" si="10">B67*$J$21</f>
        <v>11616.238571029136</v>
      </c>
      <c r="E67" s="63">
        <f t="shared" si="7"/>
        <v>30.976326423049134</v>
      </c>
      <c r="F67" s="63">
        <f t="shared" si="8"/>
        <v>23.232477142058272</v>
      </c>
      <c r="G67" s="63">
        <f t="shared" si="9"/>
        <v>18.585981713646618</v>
      </c>
    </row>
    <row r="68" spans="1:7" x14ac:dyDescent="0.25">
      <c r="A68" s="63">
        <v>40.5</v>
      </c>
      <c r="B68" s="21">
        <f t="shared" ref="B68:B131" si="11">(C68-$K$18)/$J$19</f>
        <v>0.91669387099376498</v>
      </c>
      <c r="C68" s="20">
        <f t="shared" si="6"/>
        <v>0.3925449767853314</v>
      </c>
      <c r="D68" s="63">
        <f t="shared" si="10"/>
        <v>11458.673387422063</v>
      </c>
      <c r="E68" s="63">
        <f t="shared" si="7"/>
        <v>30.556156801835165</v>
      </c>
      <c r="F68" s="63">
        <f t="shared" si="8"/>
        <v>22.917346774844123</v>
      </c>
      <c r="G68" s="63">
        <f t="shared" si="9"/>
        <v>18.3338774198753</v>
      </c>
    </row>
    <row r="69" spans="1:7" x14ac:dyDescent="0.25">
      <c r="A69" s="63">
        <v>41</v>
      </c>
      <c r="B69" s="21">
        <f t="shared" si="11"/>
        <v>0.90424332542117891</v>
      </c>
      <c r="C69" s="20">
        <f t="shared" si="6"/>
        <v>0.38721614328026455</v>
      </c>
      <c r="D69" s="63">
        <f t="shared" si="10"/>
        <v>11303.041567764736</v>
      </c>
      <c r="E69" s="63">
        <f t="shared" si="7"/>
        <v>30.141142766264156</v>
      </c>
      <c r="F69" s="63">
        <f t="shared" si="8"/>
        <v>22.606083135529474</v>
      </c>
      <c r="G69" s="63">
        <f t="shared" si="9"/>
        <v>18.084866508423577</v>
      </c>
    </row>
    <row r="70" spans="1:7" x14ac:dyDescent="0.25">
      <c r="A70" s="63">
        <v>41.5</v>
      </c>
      <c r="B70" s="21">
        <f t="shared" si="11"/>
        <v>0.89194369927081152</v>
      </c>
      <c r="C70" s="20">
        <f t="shared" si="6"/>
        <v>0.38195190328790729</v>
      </c>
      <c r="D70" s="63">
        <f t="shared" si="10"/>
        <v>11149.296240885144</v>
      </c>
      <c r="E70" s="63">
        <f t="shared" si="7"/>
        <v>29.731159327793957</v>
      </c>
      <c r="F70" s="63">
        <f t="shared" si="8"/>
        <v>22.298592481770289</v>
      </c>
      <c r="G70" s="63">
        <f t="shared" si="9"/>
        <v>17.838873985416232</v>
      </c>
    </row>
    <row r="71" spans="1:7" x14ac:dyDescent="0.25">
      <c r="A71" s="63">
        <v>42</v>
      </c>
      <c r="B71" s="21">
        <f t="shared" si="11"/>
        <v>0.87979137757499903</v>
      </c>
      <c r="C71" s="20">
        <f t="shared" si="6"/>
        <v>0.37675070960209955</v>
      </c>
      <c r="D71" s="63">
        <f t="shared" si="10"/>
        <v>10997.392219687488</v>
      </c>
      <c r="E71" s="63">
        <f t="shared" si="7"/>
        <v>29.32608598870744</v>
      </c>
      <c r="F71" s="63">
        <f t="shared" si="8"/>
        <v>21.994784439374975</v>
      </c>
      <c r="G71" s="63">
        <f t="shared" si="9"/>
        <v>17.59582755149998</v>
      </c>
    </row>
    <row r="72" spans="1:7" x14ac:dyDescent="0.25">
      <c r="A72" s="63">
        <v>42.5</v>
      </c>
      <c r="B72" s="21">
        <f t="shared" si="11"/>
        <v>0.86778287371422547</v>
      </c>
      <c r="C72" s="20">
        <f t="shared" si="6"/>
        <v>0.37161106994968846</v>
      </c>
      <c r="D72" s="63">
        <f t="shared" si="10"/>
        <v>10847.285921427818</v>
      </c>
      <c r="E72" s="63">
        <f t="shared" si="7"/>
        <v>28.925806529516276</v>
      </c>
      <c r="F72" s="63">
        <f t="shared" si="8"/>
        <v>21.694571842855638</v>
      </c>
      <c r="G72" s="63">
        <f t="shared" si="9"/>
        <v>17.355657474284509</v>
      </c>
    </row>
    <row r="73" spans="1:7" x14ac:dyDescent="0.25">
      <c r="A73" s="63">
        <v>43</v>
      </c>
      <c r="B73" s="21">
        <f t="shared" si="11"/>
        <v>0.85591482341218106</v>
      </c>
      <c r="C73" s="20">
        <f t="shared" si="6"/>
        <v>0.36653154442041347</v>
      </c>
      <c r="D73" s="63">
        <f t="shared" si="10"/>
        <v>10698.935292652262</v>
      </c>
      <c r="E73" s="63">
        <f t="shared" si="7"/>
        <v>28.530208808798228</v>
      </c>
      <c r="F73" s="63">
        <f t="shared" si="8"/>
        <v>21.397870585304528</v>
      </c>
      <c r="G73" s="63">
        <f t="shared" si="9"/>
        <v>17.118296468243621</v>
      </c>
    </row>
    <row r="74" spans="1:7" x14ac:dyDescent="0.25">
      <c r="A74" s="63">
        <v>43.5</v>
      </c>
      <c r="B74" s="21">
        <f t="shared" si="11"/>
        <v>0.84418397907795029</v>
      </c>
      <c r="C74" s="20">
        <f t="shared" si="6"/>
        <v>0.36151074304536268</v>
      </c>
      <c r="D74" s="63">
        <f t="shared" si="10"/>
        <v>10552.299738474379</v>
      </c>
      <c r="E74" s="63">
        <f t="shared" si="7"/>
        <v>28.139184574605316</v>
      </c>
      <c r="F74" s="63">
        <f t="shared" si="8"/>
        <v>21.104599476948756</v>
      </c>
      <c r="G74" s="63">
        <f t="shared" si="9"/>
        <v>16.883679581559004</v>
      </c>
    </row>
    <row r="75" spans="1:7" x14ac:dyDescent="0.25">
      <c r="A75" s="63">
        <v>44</v>
      </c>
      <c r="B75" s="21">
        <f t="shared" si="11"/>
        <v>0.83258720447152479</v>
      </c>
      <c r="C75" s="20">
        <f t="shared" si="6"/>
        <v>0.35654732351381258</v>
      </c>
      <c r="D75" s="63">
        <f t="shared" si="10"/>
        <v>10407.340055894059</v>
      </c>
      <c r="E75" s="63">
        <f t="shared" si="7"/>
        <v>27.752629286649334</v>
      </c>
      <c r="F75" s="63">
        <f t="shared" si="8"/>
        <v>20.814680111788121</v>
      </c>
      <c r="G75" s="63">
        <f t="shared" si="9"/>
        <v>16.651744089430494</v>
      </c>
    </row>
    <row r="76" spans="1:7" x14ac:dyDescent="0.25">
      <c r="A76" s="63">
        <v>44.5</v>
      </c>
      <c r="B76" s="21">
        <f t="shared" si="11"/>
        <v>0.82112146967072064</v>
      </c>
      <c r="C76" s="20">
        <f t="shared" si="6"/>
        <v>0.3516399890190684</v>
      </c>
      <c r="D76" s="63">
        <f t="shared" si="10"/>
        <v>10264.018370884009</v>
      </c>
      <c r="E76" s="63">
        <f t="shared" si="7"/>
        <v>27.370441948534129</v>
      </c>
      <c r="F76" s="63">
        <f t="shared" si="8"/>
        <v>20.528036741768016</v>
      </c>
      <c r="G76" s="63">
        <f t="shared" si="9"/>
        <v>16.422429393414411</v>
      </c>
    </row>
    <row r="77" spans="1:7" x14ac:dyDescent="0.25">
      <c r="A77" s="63">
        <v>45</v>
      </c>
      <c r="B77" s="21">
        <f t="shared" si="11"/>
        <v>0.80978384631929057</v>
      </c>
      <c r="C77" s="20">
        <f t="shared" si="6"/>
        <v>0.34678748622465633</v>
      </c>
      <c r="D77" s="63">
        <f t="shared" si="10"/>
        <v>10122.298078991133</v>
      </c>
      <c r="E77" s="63">
        <f t="shared" si="7"/>
        <v>26.992524949360913</v>
      </c>
      <c r="F77" s="63">
        <f t="shared" si="8"/>
        <v>20.244596157982265</v>
      </c>
      <c r="G77" s="63">
        <f t="shared" si="9"/>
        <v>16.195676926385811</v>
      </c>
    </row>
    <row r="78" spans="1:7" x14ac:dyDescent="0.25">
      <c r="A78" s="63">
        <v>45.5</v>
      </c>
      <c r="B78" s="21">
        <f t="shared" si="11"/>
        <v>0.79857150313758785</v>
      </c>
      <c r="C78" s="20">
        <f t="shared" si="6"/>
        <v>0.34198860334288755</v>
      </c>
      <c r="D78" s="63">
        <f t="shared" si="10"/>
        <v>9982.1437892198483</v>
      </c>
      <c r="E78" s="63">
        <f t="shared" si="7"/>
        <v>26.618783914085213</v>
      </c>
      <c r="F78" s="63">
        <f t="shared" si="8"/>
        <v>19.964287578439695</v>
      </c>
      <c r="G78" s="63">
        <f t="shared" si="9"/>
        <v>15.971430062751757</v>
      </c>
    </row>
    <row r="79" spans="1:7" x14ac:dyDescent="0.25">
      <c r="A79" s="63">
        <v>46</v>
      </c>
      <c r="B79" s="21">
        <f t="shared" si="11"/>
        <v>0.78748170167856524</v>
      </c>
      <c r="C79" s="20">
        <f t="shared" si="6"/>
        <v>0.33724216831842591</v>
      </c>
      <c r="D79" s="63">
        <f t="shared" si="10"/>
        <v>9843.5212709820662</v>
      </c>
      <c r="E79" s="63">
        <f t="shared" si="7"/>
        <v>26.249127562051616</v>
      </c>
      <c r="F79" s="63">
        <f t="shared" si="8"/>
        <v>19.687042541964132</v>
      </c>
      <c r="G79" s="63">
        <f t="shared" si="9"/>
        <v>15.749634033571304</v>
      </c>
    </row>
    <row r="80" spans="1:7" x14ac:dyDescent="0.25">
      <c r="A80" s="63">
        <v>46.5</v>
      </c>
      <c r="B80" s="21">
        <f t="shared" si="11"/>
        <v>0.77651179231319178</v>
      </c>
      <c r="C80" s="20">
        <f t="shared" si="6"/>
        <v>0.33254704711004607</v>
      </c>
      <c r="D80" s="63">
        <f t="shared" si="10"/>
        <v>9706.397403914898</v>
      </c>
      <c r="E80" s="63">
        <f t="shared" si="7"/>
        <v>25.883467573175622</v>
      </c>
      <c r="F80" s="63">
        <f t="shared" si="8"/>
        <v>19.412794807829794</v>
      </c>
      <c r="G80" s="63">
        <f t="shared" si="9"/>
        <v>15.530235846263835</v>
      </c>
    </row>
    <row r="81" spans="1:7" x14ac:dyDescent="0.25">
      <c r="A81" s="63">
        <v>47</v>
      </c>
      <c r="B81" s="21">
        <f t="shared" si="11"/>
        <v>0.76565921043056684</v>
      </c>
      <c r="C81" s="20">
        <f t="shared" si="6"/>
        <v>0.32790214206428259</v>
      </c>
      <c r="D81" s="63">
        <f t="shared" si="10"/>
        <v>9570.7401303820861</v>
      </c>
      <c r="E81" s="63">
        <f t="shared" si="7"/>
        <v>25.521718461282084</v>
      </c>
      <c r="F81" s="63">
        <f t="shared" si="8"/>
        <v>19.141480260764173</v>
      </c>
      <c r="G81" s="63">
        <f t="shared" si="9"/>
        <v>15.313184208611336</v>
      </c>
    </row>
    <row r="82" spans="1:7" x14ac:dyDescent="0.25">
      <c r="A82" s="63">
        <v>47.5</v>
      </c>
      <c r="B82" s="21">
        <f t="shared" si="11"/>
        <v>0.75492147283909683</v>
      </c>
      <c r="C82" s="20">
        <f t="shared" si="6"/>
        <v>0.32330639037513342</v>
      </c>
      <c r="D82" s="63">
        <f t="shared" si="10"/>
        <v>9436.5184104887103</v>
      </c>
      <c r="E82" s="63">
        <f t="shared" si="7"/>
        <v>25.163797454145612</v>
      </c>
      <c r="F82" s="63">
        <f t="shared" si="8"/>
        <v>18.873036820977422</v>
      </c>
      <c r="G82" s="63">
        <f t="shared" si="9"/>
        <v>15.098429456781936</v>
      </c>
    </row>
    <row r="83" spans="1:7" x14ac:dyDescent="0.25">
      <c r="A83" s="63">
        <v>48</v>
      </c>
      <c r="B83" s="21">
        <f t="shared" si="11"/>
        <v>0.74429617435610462</v>
      </c>
      <c r="C83" s="20">
        <f t="shared" si="6"/>
        <v>0.31875876262441277</v>
      </c>
      <c r="D83" s="63">
        <f t="shared" si="10"/>
        <v>9303.7021794513075</v>
      </c>
      <c r="E83" s="63">
        <f t="shared" si="7"/>
        <v>24.809624379812035</v>
      </c>
      <c r="F83" s="63">
        <f t="shared" si="8"/>
        <v>18.607404358902617</v>
      </c>
      <c r="G83" s="63">
        <f t="shared" si="9"/>
        <v>14.885923487122092</v>
      </c>
    </row>
    <row r="84" spans="1:7" x14ac:dyDescent="0.25">
      <c r="A84" s="63">
        <v>48.5</v>
      </c>
      <c r="B84" s="21">
        <f t="shared" si="11"/>
        <v>0.73378098457415053</v>
      </c>
      <c r="C84" s="20">
        <f t="shared" si="6"/>
        <v>0.31425826139773638</v>
      </c>
      <c r="D84" s="63">
        <f t="shared" si="10"/>
        <v>9172.2623071768812</v>
      </c>
      <c r="E84" s="63">
        <f t="shared" si="7"/>
        <v>24.459121558810157</v>
      </c>
      <c r="F84" s="63">
        <f t="shared" si="8"/>
        <v>18.344524614353762</v>
      </c>
      <c r="G84" s="63">
        <f t="shared" si="9"/>
        <v>14.675619691483011</v>
      </c>
    </row>
    <row r="85" spans="1:7" x14ac:dyDescent="0.25">
      <c r="A85" s="63">
        <v>49</v>
      </c>
      <c r="B85" s="21">
        <f t="shared" si="11"/>
        <v>0.72337364479319244</v>
      </c>
      <c r="C85" s="20">
        <f t="shared" si="6"/>
        <v>0.30980391997148632</v>
      </c>
      <c r="D85" s="63">
        <f t="shared" si="10"/>
        <v>9042.1705599149063</v>
      </c>
      <c r="E85" s="63">
        <f t="shared" si="7"/>
        <v>24.112213701891484</v>
      </c>
      <c r="F85" s="63">
        <f t="shared" si="8"/>
        <v>18.084341119829812</v>
      </c>
      <c r="G85" s="63">
        <f t="shared" si="9"/>
        <v>14.46747289586385</v>
      </c>
    </row>
    <row r="86" spans="1:7" x14ac:dyDescent="0.25">
      <c r="A86" s="63">
        <v>49.5</v>
      </c>
      <c r="B86" s="21">
        <f t="shared" si="11"/>
        <v>0.71307196510848436</v>
      </c>
      <c r="C86" s="20">
        <f t="shared" si="6"/>
        <v>0.3053948010664313</v>
      </c>
      <c r="D86" s="63">
        <f t="shared" si="10"/>
        <v>8913.3995638560536</v>
      </c>
      <c r="E86" s="63">
        <f t="shared" si="7"/>
        <v>23.768827812961106</v>
      </c>
      <c r="F86" s="63">
        <f t="shared" si="8"/>
        <v>17.826799127712111</v>
      </c>
      <c r="G86" s="63">
        <f t="shared" si="9"/>
        <v>14.261439302169688</v>
      </c>
    </row>
    <row r="87" spans="1:7" x14ac:dyDescent="0.25">
      <c r="A87" s="63">
        <v>50</v>
      </c>
      <c r="B87" s="21">
        <f t="shared" si="11"/>
        <v>0.70287382164481593</v>
      </c>
      <c r="C87" s="20">
        <f t="shared" si="6"/>
        <v>0.3010299956639812</v>
      </c>
      <c r="D87" s="63">
        <f t="shared" si="10"/>
        <v>8785.9227705601988</v>
      </c>
      <c r="E87" s="63">
        <f t="shared" si="7"/>
        <v>23.428893096886647</v>
      </c>
      <c r="F87" s="63">
        <f t="shared" si="8"/>
        <v>17.5718455411204</v>
      </c>
      <c r="G87" s="63">
        <f t="shared" si="9"/>
        <v>14.057476432896319</v>
      </c>
    </row>
    <row r="88" spans="1:7" x14ac:dyDescent="0.25">
      <c r="A88" s="63">
        <v>50.5</v>
      </c>
      <c r="B88" s="21">
        <f t="shared" si="11"/>
        <v>0.69277715392836137</v>
      </c>
      <c r="C88" s="20">
        <f t="shared" si="6"/>
        <v>0.29670862188133862</v>
      </c>
      <c r="D88" s="63">
        <f t="shared" si="10"/>
        <v>8659.7144241045171</v>
      </c>
      <c r="E88" s="63">
        <f t="shared" si="7"/>
        <v>23.09234087189407</v>
      </c>
      <c r="F88" s="63">
        <f t="shared" si="8"/>
        <v>17.319428848209036</v>
      </c>
      <c r="G88" s="63">
        <f t="shared" si="9"/>
        <v>13.855543078567226</v>
      </c>
    </row>
    <row r="89" spans="1:7" x14ac:dyDescent="0.25">
      <c r="A89" s="63">
        <v>51</v>
      </c>
      <c r="B89" s="21">
        <f t="shared" si="11"/>
        <v>0.68277996238799921</v>
      </c>
      <c r="C89" s="20">
        <f t="shared" si="6"/>
        <v>0.29242982390206362</v>
      </c>
      <c r="D89" s="63">
        <f t="shared" si="10"/>
        <v>8534.7495298499907</v>
      </c>
      <c r="E89" s="63">
        <f t="shared" si="7"/>
        <v>22.759104486279178</v>
      </c>
      <c r="F89" s="63">
        <f t="shared" si="8"/>
        <v>17.069499059699979</v>
      </c>
      <c r="G89" s="63">
        <f t="shared" si="9"/>
        <v>13.655599247759984</v>
      </c>
    </row>
    <row r="90" spans="1:7" x14ac:dyDescent="0.25">
      <c r="A90" s="63">
        <v>51.5</v>
      </c>
      <c r="B90" s="21">
        <f t="shared" si="11"/>
        <v>0.67288030597852566</v>
      </c>
      <c r="C90" s="20">
        <f t="shared" si="6"/>
        <v>0.28819277095880896</v>
      </c>
      <c r="D90" s="63">
        <f t="shared" si="10"/>
        <v>8411.0038247315715</v>
      </c>
      <c r="E90" s="63">
        <f t="shared" si="7"/>
        <v>22.429119239182196</v>
      </c>
      <c r="F90" s="63">
        <f t="shared" si="8"/>
        <v>16.822007649463142</v>
      </c>
      <c r="G90" s="63">
        <f t="shared" si="9"/>
        <v>13.457606119570514</v>
      </c>
    </row>
    <row r="91" spans="1:7" x14ac:dyDescent="0.25">
      <c r="A91" s="63">
        <v>52</v>
      </c>
      <c r="B91" s="21">
        <f t="shared" si="11"/>
        <v>0.66307629991869355</v>
      </c>
      <c r="C91" s="20">
        <f t="shared" si="6"/>
        <v>0.28399665636520083</v>
      </c>
      <c r="D91" s="63">
        <f t="shared" si="10"/>
        <v>8288.4537489836694</v>
      </c>
      <c r="E91" s="63">
        <f t="shared" si="7"/>
        <v>22.102322305189812</v>
      </c>
      <c r="F91" s="63">
        <f t="shared" si="8"/>
        <v>16.576907497967337</v>
      </c>
      <c r="G91" s="63">
        <f t="shared" si="9"/>
        <v>13.261525998373871</v>
      </c>
    </row>
    <row r="92" spans="1:7" x14ac:dyDescent="0.25">
      <c r="A92" s="63">
        <v>52.5</v>
      </c>
      <c r="B92" s="21">
        <f t="shared" si="11"/>
        <v>0.65336611353748397</v>
      </c>
      <c r="C92" s="20">
        <f t="shared" si="6"/>
        <v>0.27984069659404309</v>
      </c>
      <c r="D92" s="63">
        <f t="shared" si="10"/>
        <v>8167.0764192185497</v>
      </c>
      <c r="E92" s="63">
        <f t="shared" si="7"/>
        <v>21.778652662544953</v>
      </c>
      <c r="F92" s="63">
        <f t="shared" si="8"/>
        <v>16.334152838437099</v>
      </c>
      <c r="G92" s="63">
        <f t="shared" si="9"/>
        <v>13.067322270749679</v>
      </c>
    </row>
    <row r="93" spans="1:7" x14ac:dyDescent="0.25">
      <c r="A93" s="63">
        <v>53</v>
      </c>
      <c r="B93" s="21">
        <f t="shared" si="11"/>
        <v>0.64374796822245561</v>
      </c>
      <c r="C93" s="20">
        <f t="shared" si="6"/>
        <v>0.27572413039921095</v>
      </c>
      <c r="D93" s="63">
        <f t="shared" si="10"/>
        <v>8046.849602780695</v>
      </c>
      <c r="E93" s="63">
        <f t="shared" si="7"/>
        <v>21.458051024759111</v>
      </c>
      <c r="F93" s="63">
        <f t="shared" si="8"/>
        <v>16.093699205561389</v>
      </c>
      <c r="G93" s="63">
        <f t="shared" si="9"/>
        <v>12.874959364449111</v>
      </c>
    </row>
    <row r="94" spans="1:7" x14ac:dyDescent="0.25">
      <c r="A94" s="63">
        <v>53.5</v>
      </c>
      <c r="B94" s="21">
        <f t="shared" si="11"/>
        <v>0.63422013546441958</v>
      </c>
      <c r="C94" s="20">
        <f t="shared" si="6"/>
        <v>0.27164621797877153</v>
      </c>
      <c r="D94" s="63">
        <f t="shared" si="10"/>
        <v>7927.7516933052448</v>
      </c>
      <c r="E94" s="63">
        <f t="shared" si="7"/>
        <v>21.140459775435495</v>
      </c>
      <c r="F94" s="63">
        <f t="shared" si="8"/>
        <v>15.85550338661049</v>
      </c>
      <c r="G94" s="63">
        <f t="shared" si="9"/>
        <v>12.684402709288392</v>
      </c>
    </row>
    <row r="95" spans="1:7" x14ac:dyDescent="0.25">
      <c r="A95" s="63">
        <v>54</v>
      </c>
      <c r="B95" s="21">
        <f t="shared" si="11"/>
        <v>0.6247809349930642</v>
      </c>
      <c r="C95" s="20">
        <f t="shared" si="6"/>
        <v>0.26760624017703144</v>
      </c>
      <c r="D95" s="63">
        <f t="shared" si="10"/>
        <v>7809.7616874133028</v>
      </c>
      <c r="E95" s="63">
        <f t="shared" si="7"/>
        <v>20.825822906123808</v>
      </c>
      <c r="F95" s="63">
        <f t="shared" si="8"/>
        <v>15.619523374826604</v>
      </c>
      <c r="G95" s="63">
        <f t="shared" si="9"/>
        <v>12.495618699861284</v>
      </c>
    </row>
    <row r="96" spans="1:7" x14ac:dyDescent="0.25">
      <c r="A96" s="63">
        <v>54.5</v>
      </c>
      <c r="B96" s="21">
        <f t="shared" si="11"/>
        <v>0.61542873299849887</v>
      </c>
      <c r="C96" s="20">
        <f t="shared" si="6"/>
        <v>0.2636034977233575</v>
      </c>
      <c r="D96" s="63">
        <f t="shared" si="10"/>
        <v>7692.8591624812361</v>
      </c>
      <c r="E96" s="63">
        <f t="shared" si="7"/>
        <v>20.514085957038962</v>
      </c>
      <c r="F96" s="63">
        <f t="shared" si="8"/>
        <v>15.385718324962472</v>
      </c>
      <c r="G96" s="63">
        <f t="shared" si="9"/>
        <v>12.308574659969977</v>
      </c>
    </row>
    <row r="97" spans="1:7" x14ac:dyDescent="0.25">
      <c r="A97" s="63">
        <v>55</v>
      </c>
      <c r="B97" s="21">
        <f t="shared" si="11"/>
        <v>0.60616194043400973</v>
      </c>
      <c r="C97" s="20">
        <f t="shared" si="6"/>
        <v>0.25963731050575611</v>
      </c>
      <c r="D97" s="63">
        <f t="shared" si="10"/>
        <v>7577.0242554251217</v>
      </c>
      <c r="E97" s="63">
        <f t="shared" si="7"/>
        <v>20.205195960486844</v>
      </c>
      <c r="F97" s="63">
        <f t="shared" si="8"/>
        <v>15.154048510850243</v>
      </c>
      <c r="G97" s="63">
        <f t="shared" si="9"/>
        <v>12.123238808680195</v>
      </c>
    </row>
    <row r="98" spans="1:7" x14ac:dyDescent="0.25">
      <c r="A98" s="63">
        <v>55.5</v>
      </c>
      <c r="B98" s="21">
        <f t="shared" si="11"/>
        <v>0.59697901139561627</v>
      </c>
      <c r="C98" s="20">
        <f t="shared" si="6"/>
        <v>0.25570701687732372</v>
      </c>
      <c r="D98" s="63">
        <f t="shared" si="10"/>
        <v>7462.2376424452032</v>
      </c>
      <c r="E98" s="63">
        <f t="shared" si="7"/>
        <v>19.899101386850077</v>
      </c>
      <c r="F98" s="63">
        <f t="shared" si="8"/>
        <v>14.924475284890407</v>
      </c>
      <c r="G98" s="63">
        <f t="shared" si="9"/>
        <v>11.939580227912325</v>
      </c>
    </row>
    <row r="99" spans="1:7" x14ac:dyDescent="0.25">
      <c r="A99" s="63">
        <v>56</v>
      </c>
      <c r="B99" s="21">
        <f t="shared" si="11"/>
        <v>0.58787844157429803</v>
      </c>
      <c r="C99" s="20">
        <f t="shared" si="6"/>
        <v>0.25181197299379954</v>
      </c>
      <c r="D99" s="63">
        <f t="shared" si="10"/>
        <v>7348.4805196787256</v>
      </c>
      <c r="E99" s="63">
        <f t="shared" si="7"/>
        <v>19.595752092996076</v>
      </c>
      <c r="F99" s="63">
        <f t="shared" si="8"/>
        <v>14.696961039357451</v>
      </c>
      <c r="G99" s="63">
        <f t="shared" si="9"/>
        <v>11.75756883148596</v>
      </c>
    </row>
    <row r="100" spans="1:7" x14ac:dyDescent="0.25">
      <c r="A100" s="63">
        <v>56.5</v>
      </c>
      <c r="B100" s="21">
        <f t="shared" si="11"/>
        <v>0.57885876677701287</v>
      </c>
      <c r="C100" s="20">
        <f t="shared" si="6"/>
        <v>0.2479515521805615</v>
      </c>
      <c r="D100" s="63">
        <f t="shared" si="10"/>
        <v>7235.7345847126608</v>
      </c>
      <c r="E100" s="63">
        <f t="shared" si="7"/>
        <v>19.29509927297817</v>
      </c>
      <c r="F100" s="63">
        <f t="shared" si="8"/>
        <v>14.471469169425323</v>
      </c>
      <c r="G100" s="63">
        <f t="shared" si="9"/>
        <v>11.577175335540257</v>
      </c>
    </row>
    <row r="101" spans="1:7" x14ac:dyDescent="0.25">
      <c r="A101" s="63">
        <v>57</v>
      </c>
      <c r="B101" s="21">
        <f t="shared" si="11"/>
        <v>0.56991856151287068</v>
      </c>
      <c r="C101" s="20">
        <f t="shared" si="6"/>
        <v>0.24412514432750865</v>
      </c>
      <c r="D101" s="63">
        <f t="shared" si="10"/>
        <v>7123.9820189108832</v>
      </c>
      <c r="E101" s="63">
        <f t="shared" si="7"/>
        <v>18.997095410908518</v>
      </c>
      <c r="F101" s="63">
        <f t="shared" si="8"/>
        <v>14.247964037821767</v>
      </c>
      <c r="G101" s="63">
        <f t="shared" si="9"/>
        <v>11.398371230257414</v>
      </c>
    </row>
    <row r="102" spans="1:7" x14ac:dyDescent="0.25">
      <c r="A102" s="63">
        <v>57.5</v>
      </c>
      <c r="B102" s="21">
        <f t="shared" si="11"/>
        <v>0.5610564376410504</v>
      </c>
      <c r="C102" s="20">
        <f t="shared" si="6"/>
        <v>0.24033215531036956</v>
      </c>
      <c r="D102" s="63">
        <f t="shared" si="10"/>
        <v>7013.2054705131304</v>
      </c>
      <c r="E102" s="63">
        <f t="shared" si="7"/>
        <v>18.701694235889132</v>
      </c>
      <c r="F102" s="63">
        <f t="shared" si="8"/>
        <v>14.02641094102626</v>
      </c>
      <c r="G102" s="63">
        <f t="shared" si="9"/>
        <v>11.221128752821008</v>
      </c>
    </row>
    <row r="103" spans="1:7" x14ac:dyDescent="0.25">
      <c r="A103" s="63">
        <v>58</v>
      </c>
      <c r="B103" s="21">
        <f t="shared" si="11"/>
        <v>0.55227104307724939</v>
      </c>
      <c r="C103" s="20">
        <f t="shared" si="6"/>
        <v>0.23657200643706275</v>
      </c>
      <c r="D103" s="63">
        <f t="shared" si="10"/>
        <v>6903.3880384656177</v>
      </c>
      <c r="E103" s="63">
        <f t="shared" si="7"/>
        <v>18.408850678893952</v>
      </c>
      <c r="F103" s="63">
        <f t="shared" si="8"/>
        <v>13.806776076931234</v>
      </c>
      <c r="G103" s="63">
        <f t="shared" si="9"/>
        <v>11.045420861544988</v>
      </c>
    </row>
    <row r="104" spans="1:7" x14ac:dyDescent="0.25">
      <c r="A104" s="63">
        <v>58.5</v>
      </c>
      <c r="B104" s="21">
        <f t="shared" si="11"/>
        <v>0.54356106055565323</v>
      </c>
      <c r="C104" s="20">
        <f t="shared" si="6"/>
        <v>0.23284413391781958</v>
      </c>
      <c r="D104" s="63">
        <f t="shared" si="10"/>
        <v>6794.5132569456655</v>
      </c>
      <c r="E104" s="63">
        <f t="shared" si="7"/>
        <v>18.118520831501588</v>
      </c>
      <c r="F104" s="63">
        <f t="shared" si="8"/>
        <v>13.58902651389133</v>
      </c>
      <c r="G104" s="63">
        <f t="shared" si="9"/>
        <v>10.871221211113065</v>
      </c>
    </row>
    <row r="105" spans="1:7" x14ac:dyDescent="0.25">
      <c r="A105" s="63">
        <v>59</v>
      </c>
      <c r="B105" s="21">
        <f t="shared" si="11"/>
        <v>0.53492520644358832</v>
      </c>
      <c r="C105" s="20">
        <f t="shared" si="6"/>
        <v>0.22914798835785583</v>
      </c>
      <c r="D105" s="63">
        <f t="shared" si="10"/>
        <v>6686.565080544854</v>
      </c>
      <c r="E105" s="63">
        <f t="shared" si="7"/>
        <v>17.83066190638413</v>
      </c>
      <c r="F105" s="63">
        <f t="shared" si="8"/>
        <v>13.373130161089708</v>
      </c>
      <c r="G105" s="63">
        <f t="shared" si="9"/>
        <v>10.698504128871766</v>
      </c>
    </row>
    <row r="106" spans="1:7" x14ac:dyDescent="0.25">
      <c r="A106" s="63">
        <v>59.5</v>
      </c>
      <c r="B106" s="21">
        <f t="shared" si="11"/>
        <v>0.52636222960619261</v>
      </c>
      <c r="C106" s="20">
        <f t="shared" si="6"/>
        <v>0.22548303427145044</v>
      </c>
      <c r="D106" s="63">
        <f t="shared" si="10"/>
        <v>6579.5278700774079</v>
      </c>
      <c r="E106" s="63">
        <f t="shared" si="7"/>
        <v>17.545232199463218</v>
      </c>
      <c r="F106" s="63">
        <f t="shared" si="8"/>
        <v>13.159055740154816</v>
      </c>
      <c r="G106" s="63">
        <f t="shared" si="9"/>
        <v>10.527244592123852</v>
      </c>
    </row>
    <row r="107" spans="1:7" x14ac:dyDescent="0.25">
      <c r="A107" s="63">
        <v>60</v>
      </c>
      <c r="B107" s="21">
        <f t="shared" si="11"/>
        <v>0.51787091031858967</v>
      </c>
      <c r="C107" s="20">
        <f t="shared" si="6"/>
        <v>0.22184874961635639</v>
      </c>
      <c r="D107" s="63">
        <f t="shared" si="10"/>
        <v>6473.3863789823708</v>
      </c>
      <c r="E107" s="63">
        <f t="shared" si="7"/>
        <v>17.262191053649548</v>
      </c>
      <c r="F107" s="63">
        <f t="shared" si="8"/>
        <v>12.946772757964741</v>
      </c>
      <c r="G107" s="63">
        <f t="shared" si="9"/>
        <v>10.357418206371793</v>
      </c>
    </row>
    <row r="108" spans="1:7" x14ac:dyDescent="0.25">
      <c r="A108" s="63">
        <v>60.5</v>
      </c>
      <c r="B108" s="21">
        <f t="shared" si="11"/>
        <v>0.50945005922320352</v>
      </c>
      <c r="C108" s="20">
        <f t="shared" si="6"/>
        <v>0.21824462534753111</v>
      </c>
      <c r="D108" s="63">
        <f t="shared" si="10"/>
        <v>6368.1257402900437</v>
      </c>
      <c r="E108" s="63">
        <f t="shared" si="7"/>
        <v>16.981498824087041</v>
      </c>
      <c r="F108" s="63">
        <f t="shared" si="8"/>
        <v>12.736251480580089</v>
      </c>
      <c r="G108" s="63">
        <f t="shared" si="9"/>
        <v>10.18900118446407</v>
      </c>
    </row>
    <row r="109" spans="1:7" x14ac:dyDescent="0.25">
      <c r="A109" s="63">
        <v>61</v>
      </c>
      <c r="B109" s="21">
        <f t="shared" si="11"/>
        <v>0.50109851632998359</v>
      </c>
      <c r="C109" s="20">
        <f t="shared" si="6"/>
        <v>0.21467016498923297</v>
      </c>
      <c r="D109" s="63">
        <f t="shared" si="10"/>
        <v>6263.7314541247952</v>
      </c>
      <c r="E109" s="63">
        <f t="shared" si="7"/>
        <v>16.703116844827342</v>
      </c>
      <c r="F109" s="63">
        <f t="shared" si="8"/>
        <v>12.527462908249589</v>
      </c>
      <c r="G109" s="63">
        <f t="shared" si="9"/>
        <v>10.021970326599671</v>
      </c>
    </row>
    <row r="110" spans="1:7" x14ac:dyDescent="0.25">
      <c r="A110" s="63">
        <v>61.5</v>
      </c>
      <c r="B110" s="21">
        <f t="shared" si="11"/>
        <v>0.49281515005743759</v>
      </c>
      <c r="C110" s="20">
        <f t="shared" si="6"/>
        <v>0.21112488422458328</v>
      </c>
      <c r="D110" s="63">
        <f t="shared" si="10"/>
        <v>6160.1893757179696</v>
      </c>
      <c r="E110" s="63">
        <f t="shared" si="7"/>
        <v>16.427007396864568</v>
      </c>
      <c r="F110" s="63">
        <f t="shared" si="8"/>
        <v>12.320378751435939</v>
      </c>
      <c r="G110" s="63">
        <f t="shared" si="9"/>
        <v>9.8563030011487527</v>
      </c>
    </row>
    <row r="111" spans="1:7" x14ac:dyDescent="0.25">
      <c r="A111" s="63">
        <v>62</v>
      </c>
      <c r="B111" s="21">
        <f t="shared" si="11"/>
        <v>0.48459885631249094</v>
      </c>
      <c r="C111" s="20">
        <f t="shared" si="6"/>
        <v>0.20760831050174613</v>
      </c>
      <c r="D111" s="63">
        <f t="shared" si="10"/>
        <v>6057.4857039061371</v>
      </c>
      <c r="E111" s="63">
        <f t="shared" si="7"/>
        <v>16.153133677464261</v>
      </c>
      <c r="F111" s="63">
        <f t="shared" si="8"/>
        <v>12.114971407812273</v>
      </c>
      <c r="G111" s="63">
        <f t="shared" si="9"/>
        <v>9.6919771262498191</v>
      </c>
    </row>
    <row r="112" spans="1:7" x14ac:dyDescent="0.25">
      <c r="A112" s="63">
        <v>62.5</v>
      </c>
      <c r="B112" s="21">
        <f t="shared" si="11"/>
        <v>0.47644855760730093</v>
      </c>
      <c r="C112" s="20">
        <f t="shared" si="6"/>
        <v>0.20411998265592479</v>
      </c>
      <c r="D112" s="63">
        <f t="shared" si="10"/>
        <v>5955.6069700912612</v>
      </c>
      <c r="E112" s="63">
        <f t="shared" si="7"/>
        <v>15.881459770724161</v>
      </c>
      <c r="F112" s="63">
        <f t="shared" si="8"/>
        <v>11.911213940182524</v>
      </c>
      <c r="G112" s="63">
        <f t="shared" si="9"/>
        <v>9.5289711521460188</v>
      </c>
    </row>
    <row r="113" spans="1:7" x14ac:dyDescent="0.25">
      <c r="A113" s="63">
        <v>63</v>
      </c>
      <c r="B113" s="21">
        <f t="shared" si="11"/>
        <v>0.46836320221125766</v>
      </c>
      <c r="C113" s="20">
        <f t="shared" si="6"/>
        <v>0.20065945054641829</v>
      </c>
      <c r="D113" s="63">
        <f t="shared" si="10"/>
        <v>5854.5400276407208</v>
      </c>
      <c r="E113" s="63">
        <f t="shared" si="7"/>
        <v>15.611950619307851</v>
      </c>
      <c r="F113" s="63">
        <f t="shared" si="8"/>
        <v>11.709080055281442</v>
      </c>
      <c r="G113" s="63">
        <f t="shared" si="9"/>
        <v>9.3672640442251538</v>
      </c>
    </row>
    <row r="114" spans="1:7" x14ac:dyDescent="0.25">
      <c r="A114" s="63">
        <v>63.5</v>
      </c>
      <c r="B114" s="21">
        <f t="shared" si="11"/>
        <v>0.46034176333650539</v>
      </c>
      <c r="C114" s="20">
        <f t="shared" si="6"/>
        <v>0.19722627470802431</v>
      </c>
      <c r="D114" s="63">
        <f t="shared" si="10"/>
        <v>5754.2720417063174</v>
      </c>
      <c r="E114" s="63">
        <f t="shared" si="7"/>
        <v>15.344571997295734</v>
      </c>
      <c r="F114" s="63">
        <f t="shared" si="8"/>
        <v>11.508544083412636</v>
      </c>
      <c r="G114" s="63">
        <f t="shared" si="9"/>
        <v>9.2068352667301081</v>
      </c>
    </row>
    <row r="115" spans="1:7" x14ac:dyDescent="0.25">
      <c r="A115" s="63">
        <v>64</v>
      </c>
      <c r="B115" s="21">
        <f t="shared" si="11"/>
        <v>0.45238323835540378</v>
      </c>
      <c r="C115" s="20">
        <f t="shared" si="6"/>
        <v>0.19382002601611281</v>
      </c>
      <c r="D115" s="63">
        <f t="shared" si="10"/>
        <v>5654.7904794425476</v>
      </c>
      <c r="E115" s="63">
        <f t="shared" si="7"/>
        <v>15.079290484100673</v>
      </c>
      <c r="F115" s="63">
        <f t="shared" si="8"/>
        <v>11.309580958885094</v>
      </c>
      <c r="G115" s="63">
        <f t="shared" si="9"/>
        <v>9.0476647671080759</v>
      </c>
    </row>
    <row r="116" spans="1:7" x14ac:dyDescent="0.25">
      <c r="A116" s="63">
        <v>64.5</v>
      </c>
      <c r="B116" s="21">
        <f t="shared" si="11"/>
        <v>0.44448664804843979</v>
      </c>
      <c r="C116" s="20">
        <f t="shared" si="6"/>
        <v>0.19044028536473223</v>
      </c>
      <c r="D116" s="63">
        <f t="shared" si="10"/>
        <v>5556.0831006054977</v>
      </c>
      <c r="E116" s="63">
        <f t="shared" si="7"/>
        <v>14.816073439398643</v>
      </c>
      <c r="F116" s="63">
        <f t="shared" si="8"/>
        <v>11.112166201210995</v>
      </c>
      <c r="G116" s="63">
        <f t="shared" si="9"/>
        <v>8.8897329609687965</v>
      </c>
    </row>
    <row r="117" spans="1:7" x14ac:dyDescent="0.25">
      <c r="A117" s="63">
        <v>65</v>
      </c>
      <c r="B117" s="21">
        <f t="shared" si="11"/>
        <v>0.43665103588117854</v>
      </c>
      <c r="C117" s="20">
        <f t="shared" si="6"/>
        <v>0.18708664335714442</v>
      </c>
      <c r="D117" s="63">
        <f t="shared" si="10"/>
        <v>5458.1379485147318</v>
      </c>
      <c r="E117" s="63">
        <f t="shared" si="7"/>
        <v>14.554888979027323</v>
      </c>
      <c r="F117" s="63">
        <f t="shared" si="8"/>
        <v>10.916275897029463</v>
      </c>
      <c r="G117" s="63">
        <f t="shared" si="9"/>
        <v>8.733020717623571</v>
      </c>
    </row>
    <row r="118" spans="1:7" x14ac:dyDescent="0.25">
      <c r="A118" s="63">
        <v>65.5</v>
      </c>
      <c r="B118" s="21">
        <f t="shared" si="11"/>
        <v>0.42887546730891807</v>
      </c>
      <c r="C118" s="20">
        <f t="shared" si="6"/>
        <v>0.18375870000821692</v>
      </c>
      <c r="D118" s="63">
        <f t="shared" si="10"/>
        <v>5360.9433413614761</v>
      </c>
      <c r="E118" s="63">
        <f t="shared" si="7"/>
        <v>14.295705951808165</v>
      </c>
      <c r="F118" s="63">
        <f t="shared" si="8"/>
        <v>10.721886682722952</v>
      </c>
      <c r="G118" s="63">
        <f t="shared" si="9"/>
        <v>8.5775093461783616</v>
      </c>
    </row>
    <row r="119" spans="1:7" x14ac:dyDescent="0.25">
      <c r="A119" s="63">
        <v>66</v>
      </c>
      <c r="B119" s="21">
        <f t="shared" si="11"/>
        <v>0.42115902910778341</v>
      </c>
      <c r="C119" s="20">
        <f t="shared" si="6"/>
        <v>0.18045606445813131</v>
      </c>
      <c r="D119" s="63">
        <f t="shared" si="10"/>
        <v>5264.4878638472928</v>
      </c>
      <c r="E119" s="63">
        <f t="shared" si="7"/>
        <v>14.038493917249744</v>
      </c>
      <c r="F119" s="63">
        <f t="shared" si="8"/>
        <v>10.528975727694585</v>
      </c>
      <c r="G119" s="63">
        <f t="shared" si="9"/>
        <v>8.423180582155668</v>
      </c>
    </row>
    <row r="120" spans="1:7" x14ac:dyDescent="0.25">
      <c r="A120" s="63">
        <v>66.5</v>
      </c>
      <c r="B120" s="21">
        <f t="shared" si="11"/>
        <v>0.41350082873106397</v>
      </c>
      <c r="C120" s="20">
        <f t="shared" si="6"/>
        <v>0.17717835469689538</v>
      </c>
      <c r="D120" s="63">
        <f t="shared" si="10"/>
        <v>5168.7603591382995</v>
      </c>
      <c r="E120" s="63">
        <f t="shared" si="7"/>
        <v>13.783223124092554</v>
      </c>
      <c r="F120" s="63">
        <f t="shared" si="8"/>
        <v>10.337520718276599</v>
      </c>
      <c r="G120" s="63">
        <f t="shared" si="9"/>
        <v>8.2700165746212804</v>
      </c>
    </row>
    <row r="121" spans="1:7" x14ac:dyDescent="0.25">
      <c r="A121" s="63">
        <v>67</v>
      </c>
      <c r="B121" s="21">
        <f t="shared" si="11"/>
        <v>0.40589999368965785</v>
      </c>
      <c r="C121" s="20">
        <f t="shared" si="6"/>
        <v>0.17392519729917355</v>
      </c>
      <c r="D121" s="63">
        <f t="shared" si="10"/>
        <v>5073.7499211207232</v>
      </c>
      <c r="E121" s="63">
        <f t="shared" si="7"/>
        <v>13.529864489657363</v>
      </c>
      <c r="F121" s="63">
        <f t="shared" si="8"/>
        <v>10.147499842241446</v>
      </c>
      <c r="G121" s="63">
        <f t="shared" si="9"/>
        <v>8.1179998737931562</v>
      </c>
    </row>
    <row r="122" spans="1:7" x14ac:dyDescent="0.25">
      <c r="A122" s="63">
        <v>67.5</v>
      </c>
      <c r="B122" s="21">
        <f t="shared" si="11"/>
        <v>0.39835567095554919</v>
      </c>
      <c r="C122" s="20">
        <f t="shared" si="6"/>
        <v>0.17069622716897506</v>
      </c>
      <c r="D122" s="63">
        <f t="shared" si="10"/>
        <v>4979.4458869443652</v>
      </c>
      <c r="E122" s="63">
        <f t="shared" si="7"/>
        <v>13.278389579961321</v>
      </c>
      <c r="F122" s="63">
        <f t="shared" si="8"/>
        <v>9.9588917738887304</v>
      </c>
      <c r="G122" s="63">
        <f t="shared" si="9"/>
        <v>7.9671134191109836</v>
      </c>
    </row>
    <row r="123" spans="1:7" x14ac:dyDescent="0.25">
      <c r="A123" s="63">
        <v>68</v>
      </c>
      <c r="B123" s="21">
        <f t="shared" si="11"/>
        <v>0.39086702638729826</v>
      </c>
      <c r="C123" s="20">
        <f t="shared" si="6"/>
        <v>0.16749108729376366</v>
      </c>
      <c r="D123" s="63">
        <f t="shared" si="10"/>
        <v>4885.8378298412281</v>
      </c>
      <c r="E123" s="63">
        <f t="shared" si="7"/>
        <v>13.028770590567811</v>
      </c>
      <c r="F123" s="63">
        <f t="shared" si="8"/>
        <v>9.7716756596824563</v>
      </c>
      <c r="G123" s="63">
        <f t="shared" si="9"/>
        <v>7.8173405277459649</v>
      </c>
    </row>
    <row r="124" spans="1:7" x14ac:dyDescent="0.25">
      <c r="A124" s="63">
        <v>68.5</v>
      </c>
      <c r="B124" s="21">
        <f t="shared" si="11"/>
        <v>0.3834332441765757</v>
      </c>
      <c r="C124" s="20">
        <f t="shared" si="6"/>
        <v>0.16430942850757441</v>
      </c>
      <c r="D124" s="63">
        <f t="shared" si="10"/>
        <v>4792.915552207196</v>
      </c>
      <c r="E124" s="63">
        <f t="shared" si="7"/>
        <v>12.780980328137797</v>
      </c>
      <c r="F124" s="63">
        <f t="shared" si="8"/>
        <v>9.5858311044143925</v>
      </c>
      <c r="G124" s="63">
        <f t="shared" si="9"/>
        <v>7.6686648835315143</v>
      </c>
    </row>
    <row r="125" spans="1:7" x14ac:dyDescent="0.25">
      <c r="A125" s="63">
        <v>69</v>
      </c>
      <c r="B125" s="21">
        <f t="shared" si="11"/>
        <v>0.37605352631482414</v>
      </c>
      <c r="C125" s="20">
        <f t="shared" si="6"/>
        <v>0.16115090926274472</v>
      </c>
      <c r="D125" s="63">
        <f t="shared" si="10"/>
        <v>4700.6690789353015</v>
      </c>
      <c r="E125" s="63">
        <f t="shared" si="7"/>
        <v>12.534992192652032</v>
      </c>
      <c r="F125" s="63">
        <f t="shared" si="8"/>
        <v>9.4013381578706028</v>
      </c>
      <c r="G125" s="63">
        <f t="shared" si="9"/>
        <v>7.5210705262964828</v>
      </c>
    </row>
    <row r="126" spans="1:7" x14ac:dyDescent="0.25">
      <c r="A126" s="63">
        <v>69.5</v>
      </c>
      <c r="B126" s="21">
        <f t="shared" si="11"/>
        <v>0.36872709207917326</v>
      </c>
      <c r="C126" s="20">
        <f t="shared" si="6"/>
        <v>0.15801519540988615</v>
      </c>
      <c r="D126" s="63">
        <f t="shared" si="10"/>
        <v>4609.0886509896654</v>
      </c>
      <c r="E126" s="63">
        <f t="shared" si="7"/>
        <v>12.290780160275082</v>
      </c>
      <c r="F126" s="63">
        <f t="shared" si="8"/>
        <v>9.2181773019793312</v>
      </c>
      <c r="G126" s="63">
        <f t="shared" si="9"/>
        <v>7.3745418415834649</v>
      </c>
    </row>
    <row r="127" spans="1:7" x14ac:dyDescent="0.25">
      <c r="A127" s="63">
        <v>70</v>
      </c>
      <c r="B127" s="21">
        <f t="shared" si="11"/>
        <v>0.36145317753678313</v>
      </c>
      <c r="C127" s="20">
        <f t="shared" si="6"/>
        <v>0.15490195998574319</v>
      </c>
      <c r="D127" s="63">
        <f t="shared" si="10"/>
        <v>4518.1647192097889</v>
      </c>
      <c r="E127" s="63">
        <f t="shared" si="7"/>
        <v>12.048318766833592</v>
      </c>
      <c r="F127" s="63">
        <f t="shared" si="8"/>
        <v>9.0363294384195783</v>
      </c>
      <c r="G127" s="63">
        <f t="shared" si="9"/>
        <v>7.2290635507356624</v>
      </c>
    </row>
    <row r="128" spans="1:7" x14ac:dyDescent="0.25">
      <c r="A128" s="63">
        <v>70.5</v>
      </c>
      <c r="B128" s="21">
        <f t="shared" si="11"/>
        <v>0.35423103506682552</v>
      </c>
      <c r="C128" s="20">
        <f t="shared" si="6"/>
        <v>0.15181088300860132</v>
      </c>
      <c r="D128" s="63">
        <f t="shared" si="10"/>
        <v>4427.8879383353187</v>
      </c>
      <c r="E128" s="63">
        <f t="shared" si="7"/>
        <v>11.807583091882494</v>
      </c>
      <c r="F128" s="63">
        <f t="shared" si="8"/>
        <v>8.8557758766706378</v>
      </c>
      <c r="G128" s="63">
        <f t="shared" si="9"/>
        <v>7.0846207013365099</v>
      </c>
    </row>
    <row r="129" spans="1:7" x14ac:dyDescent="0.25">
      <c r="A129" s="63">
        <v>71</v>
      </c>
      <c r="B129" s="21">
        <f t="shared" si="11"/>
        <v>0.34705993289935683</v>
      </c>
      <c r="C129" s="20">
        <f t="shared" si="6"/>
        <v>0.14874165128092473</v>
      </c>
      <c r="D129" s="63">
        <f t="shared" si="10"/>
        <v>4338.2491612419599</v>
      </c>
      <c r="E129" s="63">
        <f t="shared" si="7"/>
        <v>11.56854874333426</v>
      </c>
      <c r="F129" s="63">
        <f t="shared" si="8"/>
        <v>8.6764983224839209</v>
      </c>
      <c r="G129" s="63">
        <f t="shared" si="9"/>
        <v>6.9411986579871368</v>
      </c>
    </row>
    <row r="130" spans="1:7" x14ac:dyDescent="0.25">
      <c r="A130" s="63">
        <v>71.5</v>
      </c>
      <c r="B130" s="21">
        <f t="shared" si="11"/>
        <v>0.33993915467037239</v>
      </c>
      <c r="C130" s="20">
        <f t="shared" ref="C130:C187" si="12">(-(LOG(A130/100)))</f>
        <v>0.14569395819891939</v>
      </c>
      <c r="D130" s="63">
        <f t="shared" si="10"/>
        <v>4249.2394333796547</v>
      </c>
      <c r="E130" s="63">
        <f t="shared" ref="E130:E187" si="13">B130*$J$22</f>
        <v>11.331191842627522</v>
      </c>
      <c r="F130" s="63">
        <f t="shared" ref="F130:F187" si="14">B130*$J$23</f>
        <v>8.4984788667593101</v>
      </c>
      <c r="G130" s="63">
        <f t="shared" ref="G130:G187" si="15">B130*$J$24</f>
        <v>6.7987830934074474</v>
      </c>
    </row>
    <row r="131" spans="1:7" x14ac:dyDescent="0.25">
      <c r="A131" s="63">
        <v>72</v>
      </c>
      <c r="B131" s="21">
        <f t="shared" si="11"/>
        <v>0.33286799899236347</v>
      </c>
      <c r="C131" s="20">
        <f t="shared" si="12"/>
        <v>0.14266750356873156</v>
      </c>
      <c r="D131" s="63">
        <f t="shared" ref="D131:D187" si="16">B131*$J$21</f>
        <v>4160.8499874045438</v>
      </c>
      <c r="E131" s="63">
        <f t="shared" si="13"/>
        <v>11.09548901041245</v>
      </c>
      <c r="F131" s="63">
        <f t="shared" si="14"/>
        <v>8.3216999748090874</v>
      </c>
      <c r="G131" s="63">
        <f t="shared" si="15"/>
        <v>6.6573599798472696</v>
      </c>
    </row>
    <row r="132" spans="1:7" x14ac:dyDescent="0.25">
      <c r="A132" s="63">
        <v>72.5</v>
      </c>
      <c r="B132" s="21">
        <f t="shared" ref="B132:B187" si="17">(C132-$K$18)/$J$19</f>
        <v>0.32584577903973438</v>
      </c>
      <c r="C132" s="20">
        <f t="shared" si="12"/>
        <v>0.13966199342900631</v>
      </c>
      <c r="D132" s="63">
        <f t="shared" si="16"/>
        <v>4073.0722379966796</v>
      </c>
      <c r="E132" s="63">
        <f t="shared" si="13"/>
        <v>10.861417352731467</v>
      </c>
      <c r="F132" s="63">
        <f t="shared" si="14"/>
        <v>8.1461444759933599</v>
      </c>
      <c r="G132" s="63">
        <f t="shared" si="15"/>
        <v>6.5169155807946879</v>
      </c>
    </row>
    <row r="133" spans="1:7" x14ac:dyDescent="0.25">
      <c r="A133" s="63">
        <v>73</v>
      </c>
      <c r="B133" s="21">
        <f t="shared" si="17"/>
        <v>0.31887182214846754</v>
      </c>
      <c r="C133" s="20">
        <f t="shared" si="12"/>
        <v>0.13667713987954411</v>
      </c>
      <c r="D133" s="63">
        <f t="shared" si="16"/>
        <v>3985.8977768558443</v>
      </c>
      <c r="E133" s="63">
        <f t="shared" si="13"/>
        <v>10.628954447674868</v>
      </c>
      <c r="F133" s="63">
        <f t="shared" si="14"/>
        <v>7.9717955537116882</v>
      </c>
      <c r="G133" s="63">
        <f t="shared" si="15"/>
        <v>6.3774364429693513</v>
      </c>
    </row>
    <row r="134" spans="1:7" x14ac:dyDescent="0.25">
      <c r="A134" s="63">
        <v>73.5</v>
      </c>
      <c r="B134" s="21">
        <f t="shared" si="17"/>
        <v>0.31194546942945117</v>
      </c>
      <c r="C134" s="20">
        <f t="shared" si="12"/>
        <v>0.13371266091580511</v>
      </c>
      <c r="D134" s="63">
        <f t="shared" si="16"/>
        <v>3899.3183678681398</v>
      </c>
      <c r="E134" s="63">
        <f t="shared" si="13"/>
        <v>10.398078332491895</v>
      </c>
      <c r="F134" s="63">
        <f t="shared" si="14"/>
        <v>7.7986367357362791</v>
      </c>
      <c r="G134" s="63">
        <f t="shared" si="15"/>
        <v>6.2389093885890237</v>
      </c>
    </row>
    <row r="135" spans="1:7" x14ac:dyDescent="0.25">
      <c r="A135" s="63">
        <v>74</v>
      </c>
      <c r="B135" s="21">
        <f t="shared" si="17"/>
        <v>0.30506607539491548</v>
      </c>
      <c r="C135" s="20">
        <f t="shared" si="12"/>
        <v>0.13076828026902382</v>
      </c>
      <c r="D135" s="63">
        <f t="shared" si="16"/>
        <v>3813.3259424364437</v>
      </c>
      <c r="E135" s="63">
        <f t="shared" si="13"/>
        <v>10.168767491138718</v>
      </c>
      <c r="F135" s="63">
        <f t="shared" si="14"/>
        <v>7.6266518848728868</v>
      </c>
      <c r="G135" s="63">
        <f t="shared" si="15"/>
        <v>6.1013215078983096</v>
      </c>
    </row>
    <row r="136" spans="1:7" x14ac:dyDescent="0.25">
      <c r="A136" s="63">
        <v>74.5</v>
      </c>
      <c r="B136" s="21">
        <f t="shared" si="17"/>
        <v>0.29823300759744664</v>
      </c>
      <c r="C136" s="20">
        <f t="shared" si="12"/>
        <v>0.12784372725170717</v>
      </c>
      <c r="D136" s="63">
        <f t="shared" si="16"/>
        <v>3727.9125949680829</v>
      </c>
      <c r="E136" s="63">
        <f t="shared" si="13"/>
        <v>9.941000842245689</v>
      </c>
      <c r="F136" s="63">
        <f t="shared" si="14"/>
        <v>7.4558251899361663</v>
      </c>
      <c r="G136" s="63">
        <f t="shared" si="15"/>
        <v>5.9646601519489328</v>
      </c>
    </row>
    <row r="137" spans="1:7" x14ac:dyDescent="0.25">
      <c r="A137" s="63">
        <v>75</v>
      </c>
      <c r="B137" s="21">
        <f t="shared" si="17"/>
        <v>0.29144564628107461</v>
      </c>
      <c r="C137" s="20">
        <f t="shared" si="12"/>
        <v>0.12493873660829995</v>
      </c>
      <c r="D137" s="63">
        <f t="shared" si="16"/>
        <v>3643.0705785134328</v>
      </c>
      <c r="E137" s="63">
        <f t="shared" si="13"/>
        <v>9.7147577274870596</v>
      </c>
      <c r="F137" s="63">
        <f t="shared" si="14"/>
        <v>7.286141157026865</v>
      </c>
      <c r="G137" s="63">
        <f t="shared" si="15"/>
        <v>5.8289129256214922</v>
      </c>
    </row>
    <row r="138" spans="1:7" x14ac:dyDescent="0.25">
      <c r="A138" s="63">
        <v>75.5</v>
      </c>
      <c r="B138" s="21">
        <f t="shared" si="17"/>
        <v>0.28470338404395268</v>
      </c>
      <c r="C138" s="20">
        <f t="shared" si="12"/>
        <v>0.12205304837081175</v>
      </c>
      <c r="D138" s="63">
        <f t="shared" si="16"/>
        <v>3558.7923005494085</v>
      </c>
      <c r="E138" s="63">
        <f t="shared" si="13"/>
        <v>9.4900179003370742</v>
      </c>
      <c r="F138" s="63">
        <f t="shared" si="14"/>
        <v>7.1175846010988169</v>
      </c>
      <c r="G138" s="63">
        <f t="shared" si="15"/>
        <v>5.6940676808790531</v>
      </c>
    </row>
    <row r="139" spans="1:7" x14ac:dyDescent="0.25">
      <c r="A139" s="63">
        <v>76</v>
      </c>
      <c r="B139" s="21">
        <f t="shared" si="17"/>
        <v>0.27800562551216973</v>
      </c>
      <c r="C139" s="20">
        <f t="shared" si="12"/>
        <v>0.11918640771920865</v>
      </c>
      <c r="D139" s="63">
        <f t="shared" si="16"/>
        <v>3475.0703189021215</v>
      </c>
      <c r="E139" s="63">
        <f t="shared" si="13"/>
        <v>9.2667615151971532</v>
      </c>
      <c r="F139" s="63">
        <f t="shared" si="14"/>
        <v>6.9501406378042434</v>
      </c>
      <c r="G139" s="63">
        <f t="shared" si="15"/>
        <v>5.5601125102433944</v>
      </c>
    </row>
    <row r="140" spans="1:7" x14ac:dyDescent="0.25">
      <c r="A140" s="63">
        <v>76.5</v>
      </c>
      <c r="B140" s="21">
        <f t="shared" si="17"/>
        <v>0.27135178702425788</v>
      </c>
      <c r="C140" s="20">
        <f t="shared" si="12"/>
        <v>0.11633856484638239</v>
      </c>
      <c r="D140" s="63">
        <f t="shared" si="16"/>
        <v>3391.8973378032238</v>
      </c>
      <c r="E140" s="63">
        <f t="shared" si="13"/>
        <v>9.0449691168795869</v>
      </c>
      <c r="F140" s="63">
        <f t="shared" si="14"/>
        <v>6.7837946756064476</v>
      </c>
      <c r="G140" s="63">
        <f t="shared" si="15"/>
        <v>5.4270357404851577</v>
      </c>
    </row>
    <row r="141" spans="1:7" x14ac:dyDescent="0.25">
      <c r="A141" s="63">
        <v>77</v>
      </c>
      <c r="B141" s="21">
        <f t="shared" si="17"/>
        <v>0.26474129632597693</v>
      </c>
      <c r="C141" s="20">
        <f t="shared" si="12"/>
        <v>0.11350927482751812</v>
      </c>
      <c r="D141" s="63">
        <f t="shared" si="16"/>
        <v>3309.2662040747114</v>
      </c>
      <c r="E141" s="63">
        <f t="shared" si="13"/>
        <v>8.8246216304337892</v>
      </c>
      <c r="F141" s="63">
        <f t="shared" si="14"/>
        <v>6.6185324081494228</v>
      </c>
      <c r="G141" s="63">
        <f t="shared" si="15"/>
        <v>5.2948259265195388</v>
      </c>
    </row>
    <row r="142" spans="1:7" x14ac:dyDescent="0.25">
      <c r="A142" s="63">
        <v>77.5</v>
      </c>
      <c r="B142" s="21">
        <f t="shared" si="17"/>
        <v>0.25817359227497594</v>
      </c>
      <c r="C142" s="20">
        <f t="shared" si="12"/>
        <v>0.1106982974936897</v>
      </c>
      <c r="D142" s="63">
        <f t="shared" si="16"/>
        <v>3227.1699034371991</v>
      </c>
      <c r="E142" s="63">
        <f t="shared" si="13"/>
        <v>8.6057003513017722</v>
      </c>
      <c r="F142" s="63">
        <f t="shared" si="14"/>
        <v>6.4543398068743985</v>
      </c>
      <c r="G142" s="63">
        <f t="shared" si="15"/>
        <v>5.1634718454995188</v>
      </c>
    </row>
    <row r="143" spans="1:7" x14ac:dyDescent="0.25">
      <c r="A143" s="63">
        <v>78</v>
      </c>
      <c r="B143" s="21">
        <f t="shared" si="17"/>
        <v>0.25164812455495228</v>
      </c>
      <c r="C143" s="20">
        <f t="shared" si="12"/>
        <v>0.10790539730951958</v>
      </c>
      <c r="D143" s="63">
        <f t="shared" si="16"/>
        <v>3145.6015569369033</v>
      </c>
      <c r="E143" s="63">
        <f t="shared" si="13"/>
        <v>8.3881869357902232</v>
      </c>
      <c r="F143" s="63">
        <f t="shared" si="14"/>
        <v>6.2912031138738067</v>
      </c>
      <c r="G143" s="63">
        <f t="shared" si="15"/>
        <v>5.0329624910990454</v>
      </c>
    </row>
    <row r="144" spans="1:7" x14ac:dyDescent="0.25">
      <c r="A144" s="63">
        <v>78.5</v>
      </c>
      <c r="B144" s="21">
        <f t="shared" si="17"/>
        <v>0.24516435339894263</v>
      </c>
      <c r="C144" s="20">
        <f t="shared" si="12"/>
        <v>0.10513034325474745</v>
      </c>
      <c r="D144" s="63">
        <f t="shared" si="16"/>
        <v>3064.5544174867828</v>
      </c>
      <c r="E144" s="63">
        <f t="shared" si="13"/>
        <v>8.1720633918469545</v>
      </c>
      <c r="F144" s="63">
        <f t="shared" si="14"/>
        <v>6.1291088349735654</v>
      </c>
      <c r="G144" s="63">
        <f t="shared" si="15"/>
        <v>4.9032870679788525</v>
      </c>
    </row>
    <row r="145" spans="1:7" x14ac:dyDescent="0.25">
      <c r="A145" s="63">
        <v>79</v>
      </c>
      <c r="B145" s="21">
        <f t="shared" si="17"/>
        <v>0.23872174932139847</v>
      </c>
      <c r="C145" s="20">
        <f t="shared" si="12"/>
        <v>0.10237290870955855</v>
      </c>
      <c r="D145" s="63">
        <f t="shared" si="16"/>
        <v>2984.0218665174807</v>
      </c>
      <c r="E145" s="63">
        <f t="shared" si="13"/>
        <v>7.9573120701301754</v>
      </c>
      <c r="F145" s="63">
        <f t="shared" si="14"/>
        <v>5.9680437330349623</v>
      </c>
      <c r="G145" s="63">
        <f t="shared" si="15"/>
        <v>4.7744349864279698</v>
      </c>
    </row>
    <row r="146" spans="1:7" x14ac:dyDescent="0.25">
      <c r="A146" s="63">
        <v>79.5</v>
      </c>
      <c r="B146" s="21">
        <f t="shared" si="17"/>
        <v>0.23231979285871421</v>
      </c>
      <c r="C146" s="20">
        <f t="shared" si="12"/>
        <v>9.9632871343529689E-2</v>
      </c>
      <c r="D146" s="63">
        <f t="shared" si="16"/>
        <v>2903.9974107339276</v>
      </c>
      <c r="E146" s="63">
        <f t="shared" si="13"/>
        <v>7.7439156553595208</v>
      </c>
      <c r="F146" s="63">
        <f t="shared" si="14"/>
        <v>5.8079948214678554</v>
      </c>
      <c r="G146" s="63">
        <f t="shared" si="15"/>
        <v>4.6463958571742845</v>
      </c>
    </row>
    <row r="147" spans="1:7" x14ac:dyDescent="0.25">
      <c r="A147" s="63">
        <v>80</v>
      </c>
      <c r="B147" s="21">
        <f t="shared" si="17"/>
        <v>0.22595797431788875</v>
      </c>
      <c r="C147" s="20">
        <f t="shared" si="12"/>
        <v>9.6910013008056392E-2</v>
      </c>
      <c r="D147" s="63">
        <f t="shared" si="16"/>
        <v>2824.4746789736096</v>
      </c>
      <c r="E147" s="63">
        <f t="shared" si="13"/>
        <v>7.5318571579381857</v>
      </c>
      <c r="F147" s="63">
        <f t="shared" si="14"/>
        <v>5.6489493579472185</v>
      </c>
      <c r="G147" s="63">
        <f t="shared" si="15"/>
        <v>4.5191594863577746</v>
      </c>
    </row>
    <row r="148" spans="1:7" x14ac:dyDescent="0.25">
      <c r="A148" s="63">
        <v>80.5</v>
      </c>
      <c r="B148" s="21">
        <f t="shared" si="17"/>
        <v>0.21963579353301743</v>
      </c>
      <c r="C148" s="20">
        <f t="shared" si="12"/>
        <v>9.4204119632131461E-2</v>
      </c>
      <c r="D148" s="63">
        <f t="shared" si="16"/>
        <v>2745.4474191627178</v>
      </c>
      <c r="E148" s="63">
        <f t="shared" si="13"/>
        <v>7.3211199058360696</v>
      </c>
      <c r="F148" s="63">
        <f t="shared" si="14"/>
        <v>5.4908948383254357</v>
      </c>
      <c r="G148" s="63">
        <f t="shared" si="15"/>
        <v>4.3927158706603482</v>
      </c>
    </row>
    <row r="149" spans="1:7" x14ac:dyDescent="0.25">
      <c r="A149" s="63">
        <v>81</v>
      </c>
      <c r="B149" s="21">
        <f t="shared" si="17"/>
        <v>0.21335275962932293</v>
      </c>
      <c r="C149" s="20">
        <f t="shared" si="12"/>
        <v>9.1514981121350217E-2</v>
      </c>
      <c r="D149" s="63">
        <f t="shared" si="16"/>
        <v>2666.9094953665367</v>
      </c>
      <c r="E149" s="63">
        <f t="shared" si="13"/>
        <v>7.1116875367242205</v>
      </c>
      <c r="F149" s="63">
        <f t="shared" si="14"/>
        <v>5.3338189907330733</v>
      </c>
      <c r="G149" s="63">
        <f t="shared" si="15"/>
        <v>4.2670551925864588</v>
      </c>
    </row>
    <row r="150" spans="1:7" x14ac:dyDescent="0.25">
      <c r="A150" s="63">
        <v>81.5</v>
      </c>
      <c r="B150" s="21">
        <f t="shared" si="17"/>
        <v>0.20710839079444721</v>
      </c>
      <c r="C150" s="20">
        <f t="shared" si="12"/>
        <v>8.8842391260023412E-2</v>
      </c>
      <c r="D150" s="63">
        <f t="shared" si="16"/>
        <v>2588.8548849305903</v>
      </c>
      <c r="E150" s="63">
        <f t="shared" si="13"/>
        <v>6.9035439903513085</v>
      </c>
      <c r="F150" s="63">
        <f t="shared" si="14"/>
        <v>5.1777097698611803</v>
      </c>
      <c r="G150" s="63">
        <f t="shared" si="15"/>
        <v>4.1421678158889446</v>
      </c>
    </row>
    <row r="151" spans="1:7" x14ac:dyDescent="0.25">
      <c r="A151" s="63">
        <v>82</v>
      </c>
      <c r="B151" s="21">
        <f t="shared" si="17"/>
        <v>0.20090221405673675</v>
      </c>
      <c r="C151" s="20">
        <f t="shared" si="12"/>
        <v>8.6186147616283335E-2</v>
      </c>
      <c r="D151" s="63">
        <f t="shared" si="16"/>
        <v>2511.2776757092092</v>
      </c>
      <c r="E151" s="63">
        <f t="shared" si="13"/>
        <v>6.6966735011532057</v>
      </c>
      <c r="F151" s="63">
        <f t="shared" si="14"/>
        <v>5.0225553514184185</v>
      </c>
      <c r="G151" s="63">
        <f t="shared" si="15"/>
        <v>4.0180442811347348</v>
      </c>
    </row>
    <row r="152" spans="1:7" x14ac:dyDescent="0.25">
      <c r="A152" s="63">
        <v>82.5</v>
      </c>
      <c r="B152" s="21">
        <f t="shared" si="17"/>
        <v>0.19473376507026852</v>
      </c>
      <c r="C152" s="20">
        <f t="shared" si="12"/>
        <v>8.3546051450074932E-2</v>
      </c>
      <c r="D152" s="63">
        <f t="shared" si="16"/>
        <v>2434.1720633783566</v>
      </c>
      <c r="E152" s="63">
        <f t="shared" si="13"/>
        <v>6.4910605910872601</v>
      </c>
      <c r="F152" s="63">
        <f t="shared" si="14"/>
        <v>4.8683441267567131</v>
      </c>
      <c r="G152" s="63">
        <f t="shared" si="15"/>
        <v>3.8946753014053703</v>
      </c>
    </row>
    <row r="153" spans="1:7" x14ac:dyDescent="0.25">
      <c r="A153" s="63">
        <v>83</v>
      </c>
      <c r="B153" s="21">
        <f t="shared" si="17"/>
        <v>0.18860258790636944</v>
      </c>
      <c r="C153" s="20">
        <f t="shared" si="12"/>
        <v>8.092190762392612E-2</v>
      </c>
      <c r="D153" s="63">
        <f t="shared" si="16"/>
        <v>2357.5323488296181</v>
      </c>
      <c r="E153" s="63">
        <f t="shared" si="13"/>
        <v>6.2866900626830127</v>
      </c>
      <c r="F153" s="63">
        <f t="shared" si="14"/>
        <v>4.7150646976592361</v>
      </c>
      <c r="G153" s="63">
        <f t="shared" si="15"/>
        <v>3.7720517581273887</v>
      </c>
    </row>
    <row r="154" spans="1:7" x14ac:dyDescent="0.25">
      <c r="A154" s="63">
        <v>83.5</v>
      </c>
      <c r="B154" s="21">
        <f t="shared" si="17"/>
        <v>0.18250823485139703</v>
      </c>
      <c r="C154" s="20">
        <f t="shared" si="12"/>
        <v>7.8313524516397934E-2</v>
      </c>
      <c r="D154" s="63">
        <f t="shared" si="16"/>
        <v>2281.3529356424629</v>
      </c>
      <c r="E154" s="63">
        <f t="shared" si="13"/>
        <v>6.083546992301617</v>
      </c>
      <c r="F154" s="63">
        <f t="shared" si="14"/>
        <v>4.5627058712849253</v>
      </c>
      <c r="G154" s="63">
        <f t="shared" si="15"/>
        <v>3.6501646970279404</v>
      </c>
    </row>
    <row r="155" spans="1:7" x14ac:dyDescent="0.25">
      <c r="A155" s="63">
        <v>84</v>
      </c>
      <c r="B155" s="21">
        <f t="shared" si="17"/>
        <v>0.1764502662105569</v>
      </c>
      <c r="C155" s="20">
        <f t="shared" si="12"/>
        <v>7.5720713938118356E-2</v>
      </c>
      <c r="D155" s="63">
        <f t="shared" si="16"/>
        <v>2205.6283276319614</v>
      </c>
      <c r="E155" s="63">
        <f t="shared" si="13"/>
        <v>5.8816167235964931</v>
      </c>
      <c r="F155" s="63">
        <f t="shared" si="14"/>
        <v>4.4112566552639221</v>
      </c>
      <c r="G155" s="63">
        <f t="shared" si="15"/>
        <v>3.5290053242111381</v>
      </c>
    </row>
    <row r="156" spans="1:7" x14ac:dyDescent="0.25">
      <c r="A156" s="63">
        <v>84.5</v>
      </c>
      <c r="B156" s="21">
        <f t="shared" si="17"/>
        <v>0.17042825011754129</v>
      </c>
      <c r="C156" s="20">
        <f t="shared" si="12"/>
        <v>7.3143291050307674E-2</v>
      </c>
      <c r="D156" s="63">
        <f t="shared" si="16"/>
        <v>2130.353126469266</v>
      </c>
      <c r="E156" s="63">
        <f t="shared" si="13"/>
        <v>5.6808848611680034</v>
      </c>
      <c r="F156" s="63">
        <f t="shared" si="14"/>
        <v>4.2607062529385322</v>
      </c>
      <c r="G156" s="63">
        <f t="shared" si="15"/>
        <v>3.4085650023508256</v>
      </c>
    </row>
    <row r="157" spans="1:7" x14ac:dyDescent="0.25">
      <c r="A157" s="63">
        <v>85</v>
      </c>
      <c r="B157" s="21">
        <f t="shared" si="17"/>
        <v>0.16444176234978336</v>
      </c>
      <c r="C157" s="20">
        <f t="shared" si="12"/>
        <v>7.0581074285707285E-2</v>
      </c>
      <c r="D157" s="63">
        <f t="shared" si="16"/>
        <v>2055.5220293722919</v>
      </c>
      <c r="E157" s="63">
        <f t="shared" si="13"/>
        <v>5.4813372644053286</v>
      </c>
      <c r="F157" s="63">
        <f t="shared" si="14"/>
        <v>4.111044058744584</v>
      </c>
      <c r="G157" s="63">
        <f t="shared" si="15"/>
        <v>3.2888352469956672</v>
      </c>
    </row>
    <row r="158" spans="1:7" x14ac:dyDescent="0.25">
      <c r="A158" s="63">
        <v>85.5</v>
      </c>
      <c r="B158" s="21">
        <f t="shared" si="17"/>
        <v>0.15849038614912936</v>
      </c>
      <c r="C158" s="20">
        <f t="shared" si="12"/>
        <v>6.8033885271827368E-2</v>
      </c>
      <c r="D158" s="63">
        <f t="shared" si="16"/>
        <v>1981.1298268641169</v>
      </c>
      <c r="E158" s="63">
        <f t="shared" si="13"/>
        <v>5.2829600415089288</v>
      </c>
      <c r="F158" s="63">
        <f t="shared" si="14"/>
        <v>3.9622596537282337</v>
      </c>
      <c r="G158" s="63">
        <f t="shared" si="15"/>
        <v>3.1698077229825872</v>
      </c>
    </row>
    <row r="159" spans="1:7" x14ac:dyDescent="0.25">
      <c r="A159" s="63">
        <v>86</v>
      </c>
      <c r="B159" s="21">
        <f t="shared" si="17"/>
        <v>0.15257371204773898</v>
      </c>
      <c r="C159" s="20">
        <f t="shared" si="12"/>
        <v>6.5501548756432285E-2</v>
      </c>
      <c r="D159" s="63">
        <f t="shared" si="16"/>
        <v>1907.1714005967372</v>
      </c>
      <c r="E159" s="63">
        <f t="shared" si="13"/>
        <v>5.085739543687283</v>
      </c>
      <c r="F159" s="63">
        <f t="shared" si="14"/>
        <v>3.8143428011934746</v>
      </c>
      <c r="G159" s="63">
        <f t="shared" si="15"/>
        <v>3.0514742409547795</v>
      </c>
    </row>
    <row r="160" spans="1:7" x14ac:dyDescent="0.25">
      <c r="A160" s="63">
        <v>86.5</v>
      </c>
      <c r="B160" s="21">
        <f t="shared" si="17"/>
        <v>0.1466913376990322</v>
      </c>
      <c r="C160" s="20">
        <f t="shared" si="12"/>
        <v>6.2983892535185784E-2</v>
      </c>
      <c r="D160" s="63">
        <f t="shared" si="16"/>
        <v>1833.6417212379024</v>
      </c>
      <c r="E160" s="63">
        <f t="shared" si="13"/>
        <v>4.8896623595218403</v>
      </c>
      <c r="F160" s="63">
        <f t="shared" si="14"/>
        <v>3.6672834424758047</v>
      </c>
      <c r="G160" s="63">
        <f t="shared" si="15"/>
        <v>2.933826753980644</v>
      </c>
    </row>
    <row r="161" spans="1:7" x14ac:dyDescent="0.25">
      <c r="A161" s="63">
        <v>87</v>
      </c>
      <c r="B161" s="21">
        <f t="shared" si="17"/>
        <v>0.14084286771350812</v>
      </c>
      <c r="C161" s="20">
        <f t="shared" si="12"/>
        <v>6.0480747381381476E-2</v>
      </c>
      <c r="D161" s="63">
        <f t="shared" si="16"/>
        <v>1760.5358464188516</v>
      </c>
      <c r="E161" s="63">
        <f t="shared" si="13"/>
        <v>4.6947153094943657</v>
      </c>
      <c r="F161" s="63">
        <f t="shared" si="14"/>
        <v>3.5210716928377033</v>
      </c>
      <c r="G161" s="63">
        <f t="shared" si="15"/>
        <v>2.8168573542701623</v>
      </c>
    </row>
    <row r="162" spans="1:7" x14ac:dyDescent="0.25">
      <c r="A162" s="63">
        <v>87.5</v>
      </c>
      <c r="B162" s="21">
        <f t="shared" si="17"/>
        <v>0.13502791349926813</v>
      </c>
      <c r="C162" s="20">
        <f t="shared" si="12"/>
        <v>5.7991946977686754E-2</v>
      </c>
      <c r="D162" s="63">
        <f t="shared" si="16"/>
        <v>1687.8489187408516</v>
      </c>
      <c r="E162" s="63">
        <f t="shared" si="13"/>
        <v>4.5008854406711043</v>
      </c>
      <c r="F162" s="63">
        <f t="shared" si="14"/>
        <v>3.3756978374817033</v>
      </c>
      <c r="G162" s="63">
        <f t="shared" si="15"/>
        <v>2.7005582699853625</v>
      </c>
    </row>
    <row r="163" spans="1:7" x14ac:dyDescent="0.25">
      <c r="A163" s="63">
        <v>88</v>
      </c>
      <c r="B163" s="21">
        <f t="shared" si="17"/>
        <v>0.12924609310708265</v>
      </c>
      <c r="C163" s="20">
        <f t="shared" si="12"/>
        <v>5.551732784983137E-2</v>
      </c>
      <c r="D163" s="63">
        <f t="shared" si="16"/>
        <v>1615.5761638385331</v>
      </c>
      <c r="E163" s="63">
        <f t="shared" si="13"/>
        <v>4.3081600215383862</v>
      </c>
      <c r="F163" s="63">
        <f t="shared" si="14"/>
        <v>3.2311523276770662</v>
      </c>
      <c r="G163" s="63">
        <f t="shared" si="15"/>
        <v>2.5849218621416532</v>
      </c>
    </row>
    <row r="164" spans="1:7" x14ac:dyDescent="0.25">
      <c r="A164" s="63">
        <v>88.5</v>
      </c>
      <c r="B164" s="21">
        <f t="shared" si="17"/>
        <v>0.12349703107984711</v>
      </c>
      <c r="C164" s="20">
        <f t="shared" si="12"/>
        <v>5.305672930217456E-2</v>
      </c>
      <c r="D164" s="63">
        <f t="shared" si="16"/>
        <v>1543.7128884980889</v>
      </c>
      <c r="E164" s="63">
        <f t="shared" si="13"/>
        <v>4.1165265369845434</v>
      </c>
      <c r="F164" s="63">
        <f t="shared" si="14"/>
        <v>3.0874257769961777</v>
      </c>
      <c r="G164" s="63">
        <f t="shared" si="15"/>
        <v>2.4699406215969422</v>
      </c>
    </row>
    <row r="165" spans="1:7" x14ac:dyDescent="0.25">
      <c r="A165" s="63">
        <v>89</v>
      </c>
      <c r="B165" s="21">
        <f t="shared" si="17"/>
        <v>0.11778035830627853</v>
      </c>
      <c r="C165" s="20">
        <f t="shared" si="12"/>
        <v>5.0609993355087209E-2</v>
      </c>
      <c r="D165" s="63">
        <f t="shared" si="16"/>
        <v>1472.2544788284818</v>
      </c>
      <c r="E165" s="63">
        <f t="shared" si="13"/>
        <v>3.9259726834231823</v>
      </c>
      <c r="F165" s="63">
        <f t="shared" si="14"/>
        <v>2.9445089576569634</v>
      </c>
      <c r="G165" s="63">
        <f t="shared" si="15"/>
        <v>2.3556071661255706</v>
      </c>
    </row>
    <row r="166" spans="1:7" x14ac:dyDescent="0.25">
      <c r="A166" s="63">
        <v>89.5</v>
      </c>
      <c r="B166" s="21">
        <f t="shared" si="17"/>
        <v>0.11209571187871033</v>
      </c>
      <c r="C166" s="20">
        <f t="shared" si="12"/>
        <v>4.8176964684088018E-2</v>
      </c>
      <c r="D166" s="63">
        <f t="shared" si="16"/>
        <v>1401.1963984838792</v>
      </c>
      <c r="E166" s="63">
        <f t="shared" si="13"/>
        <v>3.736486364053051</v>
      </c>
      <c r="F166" s="63">
        <f t="shared" si="14"/>
        <v>2.8023927969677582</v>
      </c>
      <c r="G166" s="63">
        <f t="shared" si="15"/>
        <v>2.2419142375742065</v>
      </c>
    </row>
    <row r="167" spans="1:7" x14ac:dyDescent="0.25">
      <c r="A167" s="63">
        <v>90</v>
      </c>
      <c r="B167" s="21">
        <f t="shared" si="17"/>
        <v>0.10644273495484841</v>
      </c>
      <c r="C167" s="20">
        <f t="shared" si="12"/>
        <v>4.5757490560675115E-2</v>
      </c>
      <c r="D167" s="63">
        <f t="shared" si="16"/>
        <v>1330.534186935605</v>
      </c>
      <c r="E167" s="63">
        <f t="shared" si="13"/>
        <v>3.5480556842499618</v>
      </c>
      <c r="F167" s="63">
        <f t="shared" si="14"/>
        <v>2.6610683738712102</v>
      </c>
      <c r="G167" s="63">
        <f t="shared" si="15"/>
        <v>2.1288546990969683</v>
      </c>
    </row>
    <row r="168" spans="1:7" x14ac:dyDescent="0.25">
      <c r="A168" s="63">
        <v>90.5</v>
      </c>
      <c r="B168" s="21">
        <f t="shared" si="17"/>
        <v>0.10082107662335672</v>
      </c>
      <c r="C168" s="20">
        <f t="shared" si="12"/>
        <v>4.3351420794796675E-2</v>
      </c>
      <c r="D168" s="63">
        <f t="shared" si="16"/>
        <v>1260.2634577919591</v>
      </c>
      <c r="E168" s="63">
        <f t="shared" si="13"/>
        <v>3.3606689470863493</v>
      </c>
      <c r="F168" s="63">
        <f t="shared" si="14"/>
        <v>2.5205269155839183</v>
      </c>
      <c r="G168" s="63">
        <f t="shared" si="15"/>
        <v>2.0164215324671346</v>
      </c>
    </row>
    <row r="169" spans="1:7" x14ac:dyDescent="0.25">
      <c r="A169" s="63">
        <v>91</v>
      </c>
      <c r="B169" s="21">
        <f t="shared" si="17"/>
        <v>9.5230391773145767E-2</v>
      </c>
      <c r="C169" s="20">
        <f t="shared" si="12"/>
        <v>4.0958607678906384E-2</v>
      </c>
      <c r="D169" s="63">
        <f t="shared" si="16"/>
        <v>1190.3798971643221</v>
      </c>
      <c r="E169" s="63">
        <f t="shared" si="13"/>
        <v>3.1743146489742675</v>
      </c>
      <c r="F169" s="63">
        <f t="shared" si="14"/>
        <v>2.380759794328644</v>
      </c>
      <c r="G169" s="63">
        <f t="shared" si="15"/>
        <v>1.9046078354629152</v>
      </c>
    </row>
    <row r="170" spans="1:7" x14ac:dyDescent="0.25">
      <c r="A170" s="63">
        <v>91.5</v>
      </c>
      <c r="B170" s="21">
        <f t="shared" si="17"/>
        <v>8.967034096624231E-2</v>
      </c>
      <c r="C170" s="20">
        <f t="shared" si="12"/>
        <v>3.8578905933551705E-2</v>
      </c>
      <c r="D170" s="63">
        <f t="shared" si="16"/>
        <v>1120.8792620780289</v>
      </c>
      <c r="E170" s="63">
        <f t="shared" si="13"/>
        <v>2.9889814754277548</v>
      </c>
      <c r="F170" s="63">
        <f t="shared" si="14"/>
        <v>2.2417585241560576</v>
      </c>
      <c r="G170" s="63">
        <f t="shared" si="15"/>
        <v>1.7934068193248462</v>
      </c>
    </row>
    <row r="171" spans="1:7" x14ac:dyDescent="0.25">
      <c r="A171" s="63">
        <v>92</v>
      </c>
      <c r="B171" s="21">
        <f t="shared" si="17"/>
        <v>8.4140590314123173E-2</v>
      </c>
      <c r="C171" s="20">
        <f t="shared" si="12"/>
        <v>3.6212172654444715E-2</v>
      </c>
      <c r="D171" s="63">
        <f t="shared" si="16"/>
        <v>1051.7573789265396</v>
      </c>
      <c r="E171" s="63">
        <f t="shared" si="13"/>
        <v>2.8046582969406675</v>
      </c>
      <c r="F171" s="63">
        <f t="shared" si="14"/>
        <v>2.1035147578530795</v>
      </c>
      <c r="G171" s="63">
        <f t="shared" si="15"/>
        <v>1.6828118062824635</v>
      </c>
    </row>
    <row r="172" spans="1:7" x14ac:dyDescent="0.25">
      <c r="A172" s="63">
        <v>92.5</v>
      </c>
      <c r="B172" s="21">
        <f t="shared" si="17"/>
        <v>7.8640811357400406E-2</v>
      </c>
      <c r="C172" s="20">
        <f t="shared" si="12"/>
        <v>3.385826726096737E-2</v>
      </c>
      <c r="D172" s="63">
        <f t="shared" si="16"/>
        <v>983.01014196750509</v>
      </c>
      <c r="E172" s="63">
        <f t="shared" si="13"/>
        <v>2.6213341649762274</v>
      </c>
      <c r="F172" s="63">
        <f t="shared" si="14"/>
        <v>1.96602028393501</v>
      </c>
      <c r="G172" s="63">
        <f t="shared" si="15"/>
        <v>1.5728162271480082</v>
      </c>
    </row>
    <row r="173" spans="1:7" x14ac:dyDescent="0.25">
      <c r="A173" s="63">
        <v>93</v>
      </c>
      <c r="B173" s="21">
        <f t="shared" si="17"/>
        <v>7.3170680948749678E-2</v>
      </c>
      <c r="C173" s="20">
        <f t="shared" si="12"/>
        <v>3.1517051446064863E-2</v>
      </c>
      <c r="D173" s="63">
        <f t="shared" si="16"/>
        <v>914.63351185937097</v>
      </c>
      <c r="E173" s="63">
        <f t="shared" si="13"/>
        <v>2.4389983080646731</v>
      </c>
      <c r="F173" s="63">
        <f t="shared" si="14"/>
        <v>1.8292670237187418</v>
      </c>
      <c r="G173" s="63">
        <f t="shared" si="15"/>
        <v>1.4634136189749936</v>
      </c>
    </row>
    <row r="174" spans="1:7" x14ac:dyDescent="0.25">
      <c r="A174" s="63">
        <v>93.5</v>
      </c>
      <c r="B174" s="21">
        <f t="shared" si="17"/>
        <v>6.7729881138977113E-2</v>
      </c>
      <c r="C174" s="20">
        <f t="shared" si="12"/>
        <v>2.91883891274822E-2</v>
      </c>
      <c r="D174" s="63">
        <f t="shared" si="16"/>
        <v>846.62351423721395</v>
      </c>
      <c r="E174" s="63">
        <f t="shared" si="13"/>
        <v>2.2576401280055238</v>
      </c>
      <c r="F174" s="63">
        <f t="shared" si="14"/>
        <v>1.6932470284744279</v>
      </c>
      <c r="G174" s="63">
        <f t="shared" si="15"/>
        <v>1.3545976227795422</v>
      </c>
    </row>
    <row r="175" spans="1:7" x14ac:dyDescent="0.25">
      <c r="A175" s="63">
        <v>94</v>
      </c>
      <c r="B175" s="21">
        <f t="shared" si="17"/>
        <v>6.2318099066124691E-2</v>
      </c>
      <c r="C175" s="20">
        <f t="shared" si="12"/>
        <v>2.6872146400301365E-2</v>
      </c>
      <c r="D175" s="63">
        <f t="shared" si="16"/>
        <v>778.97623832655859</v>
      </c>
      <c r="E175" s="63">
        <f t="shared" si="13"/>
        <v>2.0772491961711341</v>
      </c>
      <c r="F175" s="63">
        <f t="shared" si="14"/>
        <v>1.5579524766531172</v>
      </c>
      <c r="G175" s="63">
        <f t="shared" si="15"/>
        <v>1.2463619813224938</v>
      </c>
    </row>
    <row r="176" spans="1:7" x14ac:dyDescent="0.25">
      <c r="A176" s="63">
        <v>94.5</v>
      </c>
      <c r="B176" s="21">
        <f t="shared" si="17"/>
        <v>5.6935026847516536E-2</v>
      </c>
      <c r="C176" s="20">
        <f t="shared" si="12"/>
        <v>2.4568191490737076E-2</v>
      </c>
      <c r="D176" s="63">
        <f t="shared" si="16"/>
        <v>711.68783559395672</v>
      </c>
      <c r="E176" s="63">
        <f t="shared" si="13"/>
        <v>1.8978152499082686</v>
      </c>
      <c r="F176" s="63">
        <f t="shared" si="14"/>
        <v>1.4233756711879133</v>
      </c>
      <c r="G176" s="63">
        <f t="shared" si="15"/>
        <v>1.1387005369503307</v>
      </c>
    </row>
    <row r="177" spans="1:7" x14ac:dyDescent="0.25">
      <c r="A177" s="63">
        <v>95</v>
      </c>
      <c r="B177" s="21">
        <f t="shared" si="17"/>
        <v>5.15803614746548E-2</v>
      </c>
      <c r="C177" s="20">
        <f t="shared" si="12"/>
        <v>2.2276394711152253E-2</v>
      </c>
      <c r="D177" s="63">
        <f t="shared" si="16"/>
        <v>644.75451843318501</v>
      </c>
      <c r="E177" s="63">
        <f t="shared" si="13"/>
        <v>1.7193281890346683</v>
      </c>
      <c r="F177" s="63">
        <f t="shared" si="14"/>
        <v>1.28950903686637</v>
      </c>
      <c r="G177" s="63">
        <f t="shared" si="15"/>
        <v>1.031607229493096</v>
      </c>
    </row>
    <row r="178" spans="1:7" x14ac:dyDescent="0.25">
      <c r="A178" s="63">
        <v>95.5</v>
      </c>
      <c r="B178" s="21">
        <f t="shared" si="17"/>
        <v>4.6253804710873078E-2</v>
      </c>
      <c r="C178" s="20">
        <f t="shared" si="12"/>
        <v>1.9996628416253676E-2</v>
      </c>
      <c r="D178" s="63">
        <f t="shared" si="16"/>
        <v>578.17255888591353</v>
      </c>
      <c r="E178" s="63">
        <f t="shared" si="13"/>
        <v>1.5417780724275323</v>
      </c>
      <c r="F178" s="63">
        <f t="shared" si="14"/>
        <v>1.1563451177718269</v>
      </c>
      <c r="G178" s="63">
        <f t="shared" si="15"/>
        <v>0.92507609421746162</v>
      </c>
    </row>
    <row r="179" spans="1:7" x14ac:dyDescent="0.25">
      <c r="A179" s="63">
        <v>96</v>
      </c>
      <c r="B179" s="21">
        <f t="shared" si="17"/>
        <v>4.0955062991662627E-2</v>
      </c>
      <c r="C179" s="20">
        <f t="shared" si="12"/>
        <v>1.7728766960431602E-2</v>
      </c>
      <c r="D179" s="63">
        <f t="shared" si="16"/>
        <v>511.93828739578282</v>
      </c>
      <c r="E179" s="63">
        <f t="shared" si="13"/>
        <v>1.3651551147010903</v>
      </c>
      <c r="F179" s="63">
        <f t="shared" si="14"/>
        <v>1.0238765747915657</v>
      </c>
      <c r="G179" s="63">
        <f t="shared" si="15"/>
        <v>0.81910125983325255</v>
      </c>
    </row>
    <row r="180" spans="1:7" x14ac:dyDescent="0.25">
      <c r="A180" s="63">
        <v>96.5</v>
      </c>
      <c r="B180" s="21">
        <f t="shared" si="17"/>
        <v>3.5683847327587497E-2</v>
      </c>
      <c r="C180" s="20">
        <f t="shared" si="12"/>
        <v>1.5472686656207449E-2</v>
      </c>
      <c r="D180" s="63">
        <f t="shared" si="16"/>
        <v>446.0480915948437</v>
      </c>
      <c r="E180" s="63">
        <f t="shared" si="13"/>
        <v>1.1894496829704739</v>
      </c>
      <c r="F180" s="63">
        <f t="shared" si="14"/>
        <v>0.89209618318968742</v>
      </c>
      <c r="G180" s="63">
        <f t="shared" si="15"/>
        <v>0.71367694655174996</v>
      </c>
    </row>
    <row r="181" spans="1:7" x14ac:dyDescent="0.25">
      <c r="A181" s="63">
        <v>97</v>
      </c>
      <c r="B181" s="21">
        <f t="shared" si="17"/>
        <v>3.0439873209708319E-2</v>
      </c>
      <c r="C181" s="20">
        <f t="shared" si="12"/>
        <v>1.322826573375516E-2</v>
      </c>
      <c r="D181" s="63">
        <f t="shared" si="16"/>
        <v>380.49841512135401</v>
      </c>
      <c r="E181" s="63">
        <f t="shared" si="13"/>
        <v>1.0146522936992073</v>
      </c>
      <c r="F181" s="63">
        <f t="shared" si="14"/>
        <v>0.76099683024270803</v>
      </c>
      <c r="G181" s="63">
        <f t="shared" si="15"/>
        <v>0.60879746419416636</v>
      </c>
    </row>
    <row r="182" spans="1:7" x14ac:dyDescent="0.25">
      <c r="A182" s="63">
        <v>97.5</v>
      </c>
      <c r="B182" s="21">
        <f t="shared" si="17"/>
        <v>2.5222860517437367E-2</v>
      </c>
      <c r="C182" s="20">
        <f t="shared" si="12"/>
        <v>1.0995384301463193E-2</v>
      </c>
      <c r="D182" s="63">
        <f t="shared" si="16"/>
        <v>315.28575646796708</v>
      </c>
      <c r="E182" s="63">
        <f t="shared" si="13"/>
        <v>0.84075360962773971</v>
      </c>
      <c r="F182" s="63">
        <f t="shared" si="14"/>
        <v>0.63057151293593416</v>
      </c>
      <c r="G182" s="63">
        <f t="shared" si="15"/>
        <v>0.50445721034874735</v>
      </c>
    </row>
    <row r="183" spans="1:7" x14ac:dyDescent="0.25">
      <c r="A183" s="63">
        <v>98</v>
      </c>
      <c r="B183" s="21">
        <f t="shared" si="17"/>
        <v>2.0032533428750349E-2</v>
      </c>
      <c r="C183" s="20">
        <f t="shared" si="12"/>
        <v>8.7739243075051505E-3</v>
      </c>
      <c r="D183" s="63">
        <f t="shared" si="16"/>
        <v>250.40666785937935</v>
      </c>
      <c r="E183" s="63">
        <f t="shared" si="13"/>
        <v>0.66774443678053541</v>
      </c>
      <c r="F183" s="63">
        <f t="shared" si="14"/>
        <v>0.50081333571875875</v>
      </c>
      <c r="G183" s="63">
        <f t="shared" si="15"/>
        <v>0.40065066857500697</v>
      </c>
    </row>
    <row r="184" spans="1:7" x14ac:dyDescent="0.25">
      <c r="A184" s="63">
        <v>98.5</v>
      </c>
      <c r="B184" s="21">
        <f t="shared" si="17"/>
        <v>1.4868620332682884E-2</v>
      </c>
      <c r="C184" s="20">
        <f t="shared" si="12"/>
        <v>6.5637695023882739E-3</v>
      </c>
      <c r="D184" s="63">
        <f t="shared" si="16"/>
        <v>185.85775415853604</v>
      </c>
      <c r="E184" s="63">
        <f t="shared" si="13"/>
        <v>0.49561572154931854</v>
      </c>
      <c r="F184" s="63">
        <f t="shared" si="14"/>
        <v>0.37171550831707212</v>
      </c>
      <c r="G184" s="63">
        <f t="shared" si="15"/>
        <v>0.29737240665365766</v>
      </c>
    </row>
    <row r="185" spans="1:7" x14ac:dyDescent="0.25">
      <c r="A185" s="63">
        <v>99</v>
      </c>
      <c r="B185" s="21">
        <f t="shared" si="17"/>
        <v>9.7308537440422629E-3</v>
      </c>
      <c r="C185" s="20">
        <f t="shared" si="12"/>
        <v>4.3648054024500883E-3</v>
      </c>
      <c r="D185" s="63">
        <f t="shared" si="16"/>
        <v>121.63567180052829</v>
      </c>
      <c r="E185" s="63">
        <f t="shared" si="13"/>
        <v>0.32435854785016072</v>
      </c>
      <c r="F185" s="63">
        <f t="shared" si="14"/>
        <v>0.24327134360105657</v>
      </c>
      <c r="G185" s="63">
        <f t="shared" si="15"/>
        <v>0.19461707488084526</v>
      </c>
    </row>
    <row r="186" spans="1:7" x14ac:dyDescent="0.25">
      <c r="A186" s="63">
        <v>99.5</v>
      </c>
      <c r="B186" s="21">
        <f t="shared" si="17"/>
        <v>4.6189702202676331E-3</v>
      </c>
      <c r="C186" s="20">
        <f t="shared" si="12"/>
        <v>2.176919254274547E-3</v>
      </c>
      <c r="D186" s="63">
        <f t="shared" si="16"/>
        <v>57.737127753345412</v>
      </c>
      <c r="E186" s="63">
        <f t="shared" si="13"/>
        <v>0.15396413435218101</v>
      </c>
      <c r="F186" s="63">
        <f t="shared" si="14"/>
        <v>0.11547425550669083</v>
      </c>
      <c r="G186" s="63">
        <f t="shared" si="15"/>
        <v>9.2379404405352666E-2</v>
      </c>
    </row>
    <row r="187" spans="1:7" x14ac:dyDescent="0.25">
      <c r="A187" s="63">
        <v>100</v>
      </c>
      <c r="B187" s="21">
        <f t="shared" si="17"/>
        <v>-4.6728971962616824E-4</v>
      </c>
      <c r="C187" s="20">
        <f t="shared" si="12"/>
        <v>0</v>
      </c>
      <c r="D187" s="63">
        <f t="shared" si="16"/>
        <v>-5.8411214953271031</v>
      </c>
      <c r="E187" s="63">
        <f t="shared" si="13"/>
        <v>-1.5576168224299065E-2</v>
      </c>
      <c r="F187" s="63">
        <f t="shared" si="14"/>
        <v>-1.1682242990654207E-2</v>
      </c>
      <c r="G187" s="63">
        <f t="shared" si="15"/>
        <v>-9.3457943925233655E-3</v>
      </c>
    </row>
  </sheetData>
  <autoFilter ref="A1:G1">
    <sortState ref="A2:G187">
      <sortCondition ref="A1"/>
    </sortState>
  </autoFilter>
  <mergeCells count="1">
    <mergeCell ref="J19:K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opLeftCell="A136" workbookViewId="0">
      <selection activeCell="A141" sqref="A141:IV141"/>
    </sheetView>
  </sheetViews>
  <sheetFormatPr baseColWidth="10" defaultColWidth="11.42578125" defaultRowHeight="15" x14ac:dyDescent="0.25"/>
  <cols>
    <col min="1" max="2" width="17" customWidth="1"/>
    <col min="3" max="3" width="14.140625" customWidth="1"/>
    <col min="6" max="6" width="4.7109375" customWidth="1"/>
    <col min="257" max="258" width="17" customWidth="1"/>
    <col min="259" max="259" width="14.140625" customWidth="1"/>
    <col min="262" max="262" width="4.7109375" customWidth="1"/>
    <col min="513" max="514" width="17" customWidth="1"/>
    <col min="515" max="515" width="14.140625" customWidth="1"/>
    <col min="518" max="518" width="4.7109375" customWidth="1"/>
    <col min="769" max="770" width="17" customWidth="1"/>
    <col min="771" max="771" width="14.140625" customWidth="1"/>
    <col min="774" max="774" width="4.7109375" customWidth="1"/>
    <col min="1025" max="1026" width="17" customWidth="1"/>
    <col min="1027" max="1027" width="14.140625" customWidth="1"/>
    <col min="1030" max="1030" width="4.7109375" customWidth="1"/>
    <col min="1281" max="1282" width="17" customWidth="1"/>
    <col min="1283" max="1283" width="14.140625" customWidth="1"/>
    <col min="1286" max="1286" width="4.7109375" customWidth="1"/>
    <col min="1537" max="1538" width="17" customWidth="1"/>
    <col min="1539" max="1539" width="14.140625" customWidth="1"/>
    <col min="1542" max="1542" width="4.7109375" customWidth="1"/>
    <col min="1793" max="1794" width="17" customWidth="1"/>
    <col min="1795" max="1795" width="14.140625" customWidth="1"/>
    <col min="1798" max="1798" width="4.7109375" customWidth="1"/>
    <col min="2049" max="2050" width="17" customWidth="1"/>
    <col min="2051" max="2051" width="14.140625" customWidth="1"/>
    <col min="2054" max="2054" width="4.7109375" customWidth="1"/>
    <col min="2305" max="2306" width="17" customWidth="1"/>
    <col min="2307" max="2307" width="14.140625" customWidth="1"/>
    <col min="2310" max="2310" width="4.7109375" customWidth="1"/>
    <col min="2561" max="2562" width="17" customWidth="1"/>
    <col min="2563" max="2563" width="14.140625" customWidth="1"/>
    <col min="2566" max="2566" width="4.7109375" customWidth="1"/>
    <col min="2817" max="2818" width="17" customWidth="1"/>
    <col min="2819" max="2819" width="14.140625" customWidth="1"/>
    <col min="2822" max="2822" width="4.7109375" customWidth="1"/>
    <col min="3073" max="3074" width="17" customWidth="1"/>
    <col min="3075" max="3075" width="14.140625" customWidth="1"/>
    <col min="3078" max="3078" width="4.7109375" customWidth="1"/>
    <col min="3329" max="3330" width="17" customWidth="1"/>
    <col min="3331" max="3331" width="14.140625" customWidth="1"/>
    <col min="3334" max="3334" width="4.7109375" customWidth="1"/>
    <col min="3585" max="3586" width="17" customWidth="1"/>
    <col min="3587" max="3587" width="14.140625" customWidth="1"/>
    <col min="3590" max="3590" width="4.7109375" customWidth="1"/>
    <col min="3841" max="3842" width="17" customWidth="1"/>
    <col min="3843" max="3843" width="14.140625" customWidth="1"/>
    <col min="3846" max="3846" width="4.7109375" customWidth="1"/>
    <col min="4097" max="4098" width="17" customWidth="1"/>
    <col min="4099" max="4099" width="14.140625" customWidth="1"/>
    <col min="4102" max="4102" width="4.7109375" customWidth="1"/>
    <col min="4353" max="4354" width="17" customWidth="1"/>
    <col min="4355" max="4355" width="14.140625" customWidth="1"/>
    <col min="4358" max="4358" width="4.7109375" customWidth="1"/>
    <col min="4609" max="4610" width="17" customWidth="1"/>
    <col min="4611" max="4611" width="14.140625" customWidth="1"/>
    <col min="4614" max="4614" width="4.7109375" customWidth="1"/>
    <col min="4865" max="4866" width="17" customWidth="1"/>
    <col min="4867" max="4867" width="14.140625" customWidth="1"/>
    <col min="4870" max="4870" width="4.7109375" customWidth="1"/>
    <col min="5121" max="5122" width="17" customWidth="1"/>
    <col min="5123" max="5123" width="14.140625" customWidth="1"/>
    <col min="5126" max="5126" width="4.7109375" customWidth="1"/>
    <col min="5377" max="5378" width="17" customWidth="1"/>
    <col min="5379" max="5379" width="14.140625" customWidth="1"/>
    <col min="5382" max="5382" width="4.7109375" customWidth="1"/>
    <col min="5633" max="5634" width="17" customWidth="1"/>
    <col min="5635" max="5635" width="14.140625" customWidth="1"/>
    <col min="5638" max="5638" width="4.7109375" customWidth="1"/>
    <col min="5889" max="5890" width="17" customWidth="1"/>
    <col min="5891" max="5891" width="14.140625" customWidth="1"/>
    <col min="5894" max="5894" width="4.7109375" customWidth="1"/>
    <col min="6145" max="6146" width="17" customWidth="1"/>
    <col min="6147" max="6147" width="14.140625" customWidth="1"/>
    <col min="6150" max="6150" width="4.7109375" customWidth="1"/>
    <col min="6401" max="6402" width="17" customWidth="1"/>
    <col min="6403" max="6403" width="14.140625" customWidth="1"/>
    <col min="6406" max="6406" width="4.7109375" customWidth="1"/>
    <col min="6657" max="6658" width="17" customWidth="1"/>
    <col min="6659" max="6659" width="14.140625" customWidth="1"/>
    <col min="6662" max="6662" width="4.7109375" customWidth="1"/>
    <col min="6913" max="6914" width="17" customWidth="1"/>
    <col min="6915" max="6915" width="14.140625" customWidth="1"/>
    <col min="6918" max="6918" width="4.7109375" customWidth="1"/>
    <col min="7169" max="7170" width="17" customWidth="1"/>
    <col min="7171" max="7171" width="14.140625" customWidth="1"/>
    <col min="7174" max="7174" width="4.7109375" customWidth="1"/>
    <col min="7425" max="7426" width="17" customWidth="1"/>
    <col min="7427" max="7427" width="14.140625" customWidth="1"/>
    <col min="7430" max="7430" width="4.7109375" customWidth="1"/>
    <col min="7681" max="7682" width="17" customWidth="1"/>
    <col min="7683" max="7683" width="14.140625" customWidth="1"/>
    <col min="7686" max="7686" width="4.7109375" customWidth="1"/>
    <col min="7937" max="7938" width="17" customWidth="1"/>
    <col min="7939" max="7939" width="14.140625" customWidth="1"/>
    <col min="7942" max="7942" width="4.7109375" customWidth="1"/>
    <col min="8193" max="8194" width="17" customWidth="1"/>
    <col min="8195" max="8195" width="14.140625" customWidth="1"/>
    <col min="8198" max="8198" width="4.7109375" customWidth="1"/>
    <col min="8449" max="8450" width="17" customWidth="1"/>
    <col min="8451" max="8451" width="14.140625" customWidth="1"/>
    <col min="8454" max="8454" width="4.7109375" customWidth="1"/>
    <col min="8705" max="8706" width="17" customWidth="1"/>
    <col min="8707" max="8707" width="14.140625" customWidth="1"/>
    <col min="8710" max="8710" width="4.7109375" customWidth="1"/>
    <col min="8961" max="8962" width="17" customWidth="1"/>
    <col min="8963" max="8963" width="14.140625" customWidth="1"/>
    <col min="8966" max="8966" width="4.7109375" customWidth="1"/>
    <col min="9217" max="9218" width="17" customWidth="1"/>
    <col min="9219" max="9219" width="14.140625" customWidth="1"/>
    <col min="9222" max="9222" width="4.7109375" customWidth="1"/>
    <col min="9473" max="9474" width="17" customWidth="1"/>
    <col min="9475" max="9475" width="14.140625" customWidth="1"/>
    <col min="9478" max="9478" width="4.7109375" customWidth="1"/>
    <col min="9729" max="9730" width="17" customWidth="1"/>
    <col min="9731" max="9731" width="14.140625" customWidth="1"/>
    <col min="9734" max="9734" width="4.7109375" customWidth="1"/>
    <col min="9985" max="9986" width="17" customWidth="1"/>
    <col min="9987" max="9987" width="14.140625" customWidth="1"/>
    <col min="9990" max="9990" width="4.7109375" customWidth="1"/>
    <col min="10241" max="10242" width="17" customWidth="1"/>
    <col min="10243" max="10243" width="14.140625" customWidth="1"/>
    <col min="10246" max="10246" width="4.7109375" customWidth="1"/>
    <col min="10497" max="10498" width="17" customWidth="1"/>
    <col min="10499" max="10499" width="14.140625" customWidth="1"/>
    <col min="10502" max="10502" width="4.7109375" customWidth="1"/>
    <col min="10753" max="10754" width="17" customWidth="1"/>
    <col min="10755" max="10755" width="14.140625" customWidth="1"/>
    <col min="10758" max="10758" width="4.7109375" customWidth="1"/>
    <col min="11009" max="11010" width="17" customWidth="1"/>
    <col min="11011" max="11011" width="14.140625" customWidth="1"/>
    <col min="11014" max="11014" width="4.7109375" customWidth="1"/>
    <col min="11265" max="11266" width="17" customWidth="1"/>
    <col min="11267" max="11267" width="14.140625" customWidth="1"/>
    <col min="11270" max="11270" width="4.7109375" customWidth="1"/>
    <col min="11521" max="11522" width="17" customWidth="1"/>
    <col min="11523" max="11523" width="14.140625" customWidth="1"/>
    <col min="11526" max="11526" width="4.7109375" customWidth="1"/>
    <col min="11777" max="11778" width="17" customWidth="1"/>
    <col min="11779" max="11779" width="14.140625" customWidth="1"/>
    <col min="11782" max="11782" width="4.7109375" customWidth="1"/>
    <col min="12033" max="12034" width="17" customWidth="1"/>
    <col min="12035" max="12035" width="14.140625" customWidth="1"/>
    <col min="12038" max="12038" width="4.7109375" customWidth="1"/>
    <col min="12289" max="12290" width="17" customWidth="1"/>
    <col min="12291" max="12291" width="14.140625" customWidth="1"/>
    <col min="12294" max="12294" width="4.7109375" customWidth="1"/>
    <col min="12545" max="12546" width="17" customWidth="1"/>
    <col min="12547" max="12547" width="14.140625" customWidth="1"/>
    <col min="12550" max="12550" width="4.7109375" customWidth="1"/>
    <col min="12801" max="12802" width="17" customWidth="1"/>
    <col min="12803" max="12803" width="14.140625" customWidth="1"/>
    <col min="12806" max="12806" width="4.7109375" customWidth="1"/>
    <col min="13057" max="13058" width="17" customWidth="1"/>
    <col min="13059" max="13059" width="14.140625" customWidth="1"/>
    <col min="13062" max="13062" width="4.7109375" customWidth="1"/>
    <col min="13313" max="13314" width="17" customWidth="1"/>
    <col min="13315" max="13315" width="14.140625" customWidth="1"/>
    <col min="13318" max="13318" width="4.7109375" customWidth="1"/>
    <col min="13569" max="13570" width="17" customWidth="1"/>
    <col min="13571" max="13571" width="14.140625" customWidth="1"/>
    <col min="13574" max="13574" width="4.7109375" customWidth="1"/>
    <col min="13825" max="13826" width="17" customWidth="1"/>
    <col min="13827" max="13827" width="14.140625" customWidth="1"/>
    <col min="13830" max="13830" width="4.7109375" customWidth="1"/>
    <col min="14081" max="14082" width="17" customWidth="1"/>
    <col min="14083" max="14083" width="14.140625" customWidth="1"/>
    <col min="14086" max="14086" width="4.7109375" customWidth="1"/>
    <col min="14337" max="14338" width="17" customWidth="1"/>
    <col min="14339" max="14339" width="14.140625" customWidth="1"/>
    <col min="14342" max="14342" width="4.7109375" customWidth="1"/>
    <col min="14593" max="14594" width="17" customWidth="1"/>
    <col min="14595" max="14595" width="14.140625" customWidth="1"/>
    <col min="14598" max="14598" width="4.7109375" customWidth="1"/>
    <col min="14849" max="14850" width="17" customWidth="1"/>
    <col min="14851" max="14851" width="14.140625" customWidth="1"/>
    <col min="14854" max="14854" width="4.7109375" customWidth="1"/>
    <col min="15105" max="15106" width="17" customWidth="1"/>
    <col min="15107" max="15107" width="14.140625" customWidth="1"/>
    <col min="15110" max="15110" width="4.7109375" customWidth="1"/>
    <col min="15361" max="15362" width="17" customWidth="1"/>
    <col min="15363" max="15363" width="14.140625" customWidth="1"/>
    <col min="15366" max="15366" width="4.7109375" customWidth="1"/>
    <col min="15617" max="15618" width="17" customWidth="1"/>
    <col min="15619" max="15619" width="14.140625" customWidth="1"/>
    <col min="15622" max="15622" width="4.7109375" customWidth="1"/>
    <col min="15873" max="15874" width="17" customWidth="1"/>
    <col min="15875" max="15875" width="14.140625" customWidth="1"/>
    <col min="15878" max="15878" width="4.7109375" customWidth="1"/>
    <col min="16129" max="16130" width="17" customWidth="1"/>
    <col min="16131" max="16131" width="14.140625" customWidth="1"/>
    <col min="16134" max="16134" width="4.7109375" customWidth="1"/>
  </cols>
  <sheetData>
    <row r="1" spans="1:4" x14ac:dyDescent="0.25">
      <c r="A1" s="20" t="s">
        <v>105</v>
      </c>
      <c r="B1" s="20" t="s">
        <v>106</v>
      </c>
      <c r="C1" s="62" t="s">
        <v>91</v>
      </c>
      <c r="D1" s="65" t="s">
        <v>107</v>
      </c>
    </row>
    <row r="2" spans="1:4" x14ac:dyDescent="0.25">
      <c r="A2" s="66">
        <v>4.5</v>
      </c>
      <c r="B2" s="22">
        <f t="shared" ref="B2:B65" si="0">(C2+$H$19)/$G$20</f>
        <v>69.84909255050033</v>
      </c>
      <c r="C2" s="20">
        <f t="shared" ref="C2:C65" si="1">(-(LOG(A2/100)))</f>
        <v>1.3467874862246563</v>
      </c>
      <c r="D2" s="20">
        <f t="shared" ref="D2:D65" si="2">(500*B2)/10000</f>
        <v>3.4924546275250163</v>
      </c>
    </row>
    <row r="3" spans="1:4" x14ac:dyDescent="0.25">
      <c r="A3" s="66">
        <v>5</v>
      </c>
      <c r="B3" s="22">
        <f t="shared" si="0"/>
        <v>67.478238117304727</v>
      </c>
      <c r="C3" s="20">
        <f t="shared" si="1"/>
        <v>1.3010299956639813</v>
      </c>
      <c r="D3" s="20">
        <f t="shared" si="2"/>
        <v>3.3739119058652367</v>
      </c>
    </row>
    <row r="4" spans="1:4" x14ac:dyDescent="0.25">
      <c r="A4" s="66">
        <v>5.5</v>
      </c>
      <c r="B4" s="22">
        <f t="shared" si="0"/>
        <v>65.333539404443329</v>
      </c>
      <c r="C4" s="20">
        <f t="shared" si="1"/>
        <v>1.2596373105057561</v>
      </c>
      <c r="D4" s="20">
        <f t="shared" si="2"/>
        <v>3.2666769702221665</v>
      </c>
    </row>
    <row r="5" spans="1:4" x14ac:dyDescent="0.25">
      <c r="A5" s="66">
        <v>6</v>
      </c>
      <c r="B5" s="22">
        <f t="shared" si="0"/>
        <v>63.375582881676493</v>
      </c>
      <c r="C5" s="20">
        <f t="shared" si="1"/>
        <v>1.2218487496163564</v>
      </c>
      <c r="D5" s="20">
        <f t="shared" si="2"/>
        <v>3.1687791440838247</v>
      </c>
    </row>
    <row r="6" spans="1:4" x14ac:dyDescent="0.25">
      <c r="A6" s="66">
        <v>6.5</v>
      </c>
      <c r="B6" s="22">
        <f t="shared" si="0"/>
        <v>61.574437479644786</v>
      </c>
      <c r="C6" s="20">
        <f t="shared" si="1"/>
        <v>1.1870866433571443</v>
      </c>
      <c r="D6" s="20">
        <f t="shared" si="2"/>
        <v>3.0787218739822393</v>
      </c>
    </row>
    <row r="7" spans="1:4" x14ac:dyDescent="0.25">
      <c r="A7" s="66">
        <v>7</v>
      </c>
      <c r="B7" s="22">
        <f t="shared" si="0"/>
        <v>59.906837304960781</v>
      </c>
      <c r="C7" s="20">
        <f t="shared" si="1"/>
        <v>1.1549019599857431</v>
      </c>
      <c r="D7" s="20">
        <f t="shared" si="2"/>
        <v>2.9953418652480392</v>
      </c>
    </row>
    <row r="8" spans="1:4" x14ac:dyDescent="0.25">
      <c r="A8" s="66">
        <v>7.5</v>
      </c>
      <c r="B8" s="22">
        <f t="shared" si="0"/>
        <v>58.354338684367875</v>
      </c>
      <c r="C8" s="20">
        <f t="shared" si="1"/>
        <v>1.1249387366082999</v>
      </c>
      <c r="D8" s="20">
        <f t="shared" si="2"/>
        <v>2.9177169342183937</v>
      </c>
    </row>
    <row r="9" spans="1:4" x14ac:dyDescent="0.25">
      <c r="A9" s="66">
        <v>8</v>
      </c>
      <c r="B9" s="22">
        <f t="shared" si="0"/>
        <v>56.90207321285267</v>
      </c>
      <c r="C9" s="20">
        <f t="shared" si="1"/>
        <v>1.0969100130080565</v>
      </c>
      <c r="D9" s="20">
        <f t="shared" si="2"/>
        <v>2.8451036606426334</v>
      </c>
    </row>
    <row r="10" spans="1:4" x14ac:dyDescent="0.25">
      <c r="A10" s="66">
        <v>8.5</v>
      </c>
      <c r="B10" s="22">
        <f t="shared" si="0"/>
        <v>55.537879496668765</v>
      </c>
      <c r="C10" s="20">
        <f t="shared" si="1"/>
        <v>1.0705810742857071</v>
      </c>
      <c r="D10" s="20">
        <f t="shared" si="2"/>
        <v>2.7768939748334383</v>
      </c>
    </row>
    <row r="11" spans="1:4" x14ac:dyDescent="0.25">
      <c r="A11" s="66">
        <v>9</v>
      </c>
      <c r="B11" s="22">
        <f t="shared" si="0"/>
        <v>54.251683448739648</v>
      </c>
      <c r="C11" s="20">
        <f t="shared" si="1"/>
        <v>1.0457574905606752</v>
      </c>
      <c r="D11" s="20">
        <f t="shared" si="2"/>
        <v>2.7125841724369826</v>
      </c>
    </row>
    <row r="12" spans="1:4" x14ac:dyDescent="0.25">
      <c r="A12" s="66">
        <v>9.5</v>
      </c>
      <c r="B12" s="22">
        <f t="shared" si="0"/>
        <v>53.035046358090788</v>
      </c>
      <c r="C12" s="20">
        <f t="shared" si="1"/>
        <v>1.0222763947111522</v>
      </c>
      <c r="D12" s="20">
        <f t="shared" si="2"/>
        <v>2.6517523179045392</v>
      </c>
    </row>
    <row r="13" spans="1:4" x14ac:dyDescent="0.25">
      <c r="A13" s="66">
        <v>10</v>
      </c>
      <c r="B13" s="22">
        <f t="shared" si="0"/>
        <v>51.880829015544045</v>
      </c>
      <c r="C13" s="20">
        <f t="shared" si="1"/>
        <v>1</v>
      </c>
      <c r="D13" s="20">
        <f t="shared" si="2"/>
        <v>2.5940414507772025</v>
      </c>
    </row>
    <row r="14" spans="1:4" x14ac:dyDescent="0.25">
      <c r="A14" s="66">
        <v>10.5</v>
      </c>
      <c r="B14" s="22">
        <f t="shared" si="0"/>
        <v>50.782937872023929</v>
      </c>
      <c r="C14" s="20">
        <f t="shared" si="1"/>
        <v>0.97881070093006195</v>
      </c>
      <c r="D14" s="20">
        <f t="shared" si="2"/>
        <v>2.5391468936011963</v>
      </c>
    </row>
    <row r="15" spans="1:4" x14ac:dyDescent="0.25">
      <c r="A15" s="66">
        <v>11</v>
      </c>
      <c r="B15" s="22">
        <f t="shared" si="0"/>
        <v>49.736130302682639</v>
      </c>
      <c r="C15" s="20">
        <f t="shared" si="1"/>
        <v>0.95860731484177497</v>
      </c>
      <c r="D15" s="20">
        <f t="shared" si="2"/>
        <v>2.4868065151341323</v>
      </c>
    </row>
    <row r="16" spans="1:4" x14ac:dyDescent="0.25">
      <c r="A16" s="66">
        <v>11.5</v>
      </c>
      <c r="B16" s="22">
        <f t="shared" si="0"/>
        <v>48.735863194113378</v>
      </c>
      <c r="C16" s="20">
        <f t="shared" si="1"/>
        <v>0.9393021596463883</v>
      </c>
      <c r="D16" s="20">
        <f t="shared" si="2"/>
        <v>2.4367931597056689</v>
      </c>
    </row>
    <row r="17" spans="1:8" x14ac:dyDescent="0.25">
      <c r="A17" s="66">
        <v>12</v>
      </c>
      <c r="B17" s="22">
        <f t="shared" si="0"/>
        <v>47.778173779915811</v>
      </c>
      <c r="C17" s="20">
        <f t="shared" si="1"/>
        <v>0.92081875395237522</v>
      </c>
      <c r="D17" s="20">
        <f t="shared" si="2"/>
        <v>2.3889086889957905</v>
      </c>
    </row>
    <row r="18" spans="1:8" x14ac:dyDescent="0.25">
      <c r="A18" s="66">
        <v>12.5</v>
      </c>
      <c r="B18" s="22">
        <f t="shared" si="0"/>
        <v>46.859584818235412</v>
      </c>
      <c r="C18" s="20">
        <f t="shared" si="1"/>
        <v>0.90308998699194354</v>
      </c>
      <c r="D18" s="20">
        <f t="shared" si="2"/>
        <v>2.3429792409117707</v>
      </c>
    </row>
    <row r="19" spans="1:8" x14ac:dyDescent="0.25">
      <c r="A19" s="66">
        <v>13</v>
      </c>
      <c r="B19" s="22">
        <f t="shared" si="0"/>
        <v>45.977028377884096</v>
      </c>
      <c r="C19" s="20">
        <f t="shared" si="1"/>
        <v>0.88605664769316317</v>
      </c>
      <c r="D19" s="20">
        <f t="shared" si="2"/>
        <v>2.2988514188942046</v>
      </c>
      <c r="F19" s="40" t="s">
        <v>100</v>
      </c>
      <c r="G19" s="40" t="s">
        <v>108</v>
      </c>
      <c r="H19" s="64">
        <v>1.2999999999999999E-3</v>
      </c>
    </row>
    <row r="20" spans="1:8" x14ac:dyDescent="0.25">
      <c r="A20" s="66">
        <v>13.5</v>
      </c>
      <c r="B20" s="22">
        <f t="shared" si="0"/>
        <v>45.127784015802789</v>
      </c>
      <c r="C20" s="20">
        <f t="shared" si="1"/>
        <v>0.86966623150499389</v>
      </c>
      <c r="D20" s="20">
        <f t="shared" si="2"/>
        <v>2.2563892007901396</v>
      </c>
      <c r="G20" s="136">
        <v>1.9300000000000001E-2</v>
      </c>
      <c r="H20" s="136"/>
    </row>
    <row r="21" spans="1:8" x14ac:dyDescent="0.25">
      <c r="A21" s="66">
        <v>14</v>
      </c>
      <c r="B21" s="22">
        <f t="shared" si="0"/>
        <v>44.309428203200099</v>
      </c>
      <c r="C21" s="20">
        <f t="shared" si="1"/>
        <v>0.85387196432176193</v>
      </c>
      <c r="D21" s="20">
        <f t="shared" si="2"/>
        <v>2.215471410160005</v>
      </c>
    </row>
    <row r="22" spans="1:8" x14ac:dyDescent="0.25">
      <c r="A22" s="66">
        <v>14.5</v>
      </c>
      <c r="B22" s="22">
        <f t="shared" si="0"/>
        <v>43.519792630312182</v>
      </c>
      <c r="C22" s="20">
        <f t="shared" si="1"/>
        <v>0.83863199776502517</v>
      </c>
      <c r="D22" s="20">
        <f t="shared" si="2"/>
        <v>2.1759896315156091</v>
      </c>
    </row>
    <row r="23" spans="1:8" x14ac:dyDescent="0.25">
      <c r="A23" s="66">
        <v>15</v>
      </c>
      <c r="B23" s="22">
        <f t="shared" si="0"/>
        <v>42.756929582607185</v>
      </c>
      <c r="C23" s="20">
        <f t="shared" si="1"/>
        <v>0.82390874094431876</v>
      </c>
      <c r="D23" s="20">
        <f t="shared" si="2"/>
        <v>2.1378464791303591</v>
      </c>
    </row>
    <row r="24" spans="1:8" x14ac:dyDescent="0.25">
      <c r="A24" s="66">
        <v>15.5</v>
      </c>
      <c r="B24" s="22">
        <f t="shared" si="0"/>
        <v>42.019082996357952</v>
      </c>
      <c r="C24" s="20">
        <f t="shared" si="1"/>
        <v>0.8096683018297085</v>
      </c>
      <c r="D24" s="20">
        <f t="shared" si="2"/>
        <v>2.1009541498178979</v>
      </c>
    </row>
    <row r="25" spans="1:8" x14ac:dyDescent="0.25">
      <c r="A25" s="66">
        <v>16</v>
      </c>
      <c r="B25" s="22">
        <f t="shared" si="0"/>
        <v>41.304664111091974</v>
      </c>
      <c r="C25" s="20">
        <f t="shared" si="1"/>
        <v>0.79588001734407521</v>
      </c>
      <c r="D25" s="20">
        <f t="shared" si="2"/>
        <v>2.0652332055545988</v>
      </c>
    </row>
    <row r="26" spans="1:8" x14ac:dyDescent="0.25">
      <c r="A26" s="20">
        <v>16.5</v>
      </c>
      <c r="B26" s="22">
        <f t="shared" si="0"/>
        <v>40.612230869745787</v>
      </c>
      <c r="C26" s="20">
        <f t="shared" si="1"/>
        <v>0.78251605578609373</v>
      </c>
      <c r="D26" s="20">
        <f t="shared" si="2"/>
        <v>2.0306115434872893</v>
      </c>
    </row>
    <row r="27" spans="1:8" x14ac:dyDescent="0.25">
      <c r="A27" s="66">
        <v>17</v>
      </c>
      <c r="B27" s="22">
        <f t="shared" si="0"/>
        <v>39.940470394908075</v>
      </c>
      <c r="C27" s="20">
        <f t="shared" si="1"/>
        <v>0.769551078621726</v>
      </c>
      <c r="D27" s="20">
        <f t="shared" si="2"/>
        <v>1.9970235197454036</v>
      </c>
    </row>
    <row r="28" spans="1:8" x14ac:dyDescent="0.25">
      <c r="A28" s="66">
        <v>17.5</v>
      </c>
      <c r="B28" s="22">
        <f t="shared" si="0"/>
        <v>39.28818400589148</v>
      </c>
      <c r="C28" s="20">
        <f t="shared" si="1"/>
        <v>0.75696195131370558</v>
      </c>
      <c r="D28" s="20">
        <f t="shared" si="2"/>
        <v>1.9644092002945741</v>
      </c>
    </row>
    <row r="29" spans="1:8" x14ac:dyDescent="0.25">
      <c r="A29" s="66">
        <v>18</v>
      </c>
      <c r="B29" s="22">
        <f t="shared" si="0"/>
        <v>38.654274346978958</v>
      </c>
      <c r="C29" s="20">
        <f t="shared" si="1"/>
        <v>0.74472749489669399</v>
      </c>
      <c r="D29" s="20">
        <f t="shared" si="2"/>
        <v>1.9327137173489479</v>
      </c>
    </row>
    <row r="30" spans="1:8" x14ac:dyDescent="0.25">
      <c r="A30" s="66">
        <v>18.5</v>
      </c>
      <c r="B30" s="22">
        <f t="shared" si="0"/>
        <v>38.037734279636588</v>
      </c>
      <c r="C30" s="20">
        <f t="shared" si="1"/>
        <v>0.73282827159698616</v>
      </c>
      <c r="D30" s="20">
        <f t="shared" si="2"/>
        <v>1.9018867139818292</v>
      </c>
    </row>
    <row r="31" spans="1:8" x14ac:dyDescent="0.25">
      <c r="A31" s="66">
        <v>19</v>
      </c>
      <c r="B31" s="22">
        <f t="shared" si="0"/>
        <v>37.437637256330099</v>
      </c>
      <c r="C31" s="20">
        <f t="shared" si="1"/>
        <v>0.72124639904717103</v>
      </c>
      <c r="D31" s="20">
        <f t="shared" si="2"/>
        <v>1.8718818628165048</v>
      </c>
    </row>
    <row r="32" spans="1:8" x14ac:dyDescent="0.25">
      <c r="A32" s="66">
        <v>19.5</v>
      </c>
      <c r="B32" s="22">
        <f t="shared" si="0"/>
        <v>36.853128944947244</v>
      </c>
      <c r="C32" s="20">
        <f t="shared" si="1"/>
        <v>0.70996538863748193</v>
      </c>
      <c r="D32" s="20">
        <f t="shared" si="2"/>
        <v>1.8426564472473623</v>
      </c>
    </row>
    <row r="33" spans="1:4" x14ac:dyDescent="0.25">
      <c r="A33" s="66">
        <v>20</v>
      </c>
      <c r="B33" s="22">
        <f t="shared" si="0"/>
        <v>36.283419913783348</v>
      </c>
      <c r="C33" s="20">
        <f t="shared" si="1"/>
        <v>0.69897000433601875</v>
      </c>
      <c r="D33" s="20">
        <f t="shared" si="2"/>
        <v>1.8141709956891674</v>
      </c>
    </row>
    <row r="34" spans="1:4" x14ac:dyDescent="0.25">
      <c r="A34" s="66">
        <v>20.5</v>
      </c>
      <c r="B34" s="22">
        <f t="shared" si="0"/>
        <v>35.727779219909102</v>
      </c>
      <c r="C34" s="20">
        <f t="shared" si="1"/>
        <v>0.68824613894424569</v>
      </c>
      <c r="D34" s="20">
        <f t="shared" si="2"/>
        <v>1.7863889609954553</v>
      </c>
    </row>
    <row r="35" spans="1:4" x14ac:dyDescent="0.25">
      <c r="A35" s="66">
        <v>21</v>
      </c>
      <c r="B35" s="22">
        <f t="shared" si="0"/>
        <v>35.185528770263247</v>
      </c>
      <c r="C35" s="20">
        <f t="shared" si="1"/>
        <v>0.6777807052660807</v>
      </c>
      <c r="D35" s="20">
        <f t="shared" si="2"/>
        <v>1.7592764385131625</v>
      </c>
    </row>
    <row r="36" spans="1:4" x14ac:dyDescent="0.25">
      <c r="A36" s="66">
        <v>21.5</v>
      </c>
      <c r="B36" s="22">
        <f t="shared" si="0"/>
        <v>34.656038346341688</v>
      </c>
      <c r="C36" s="20">
        <f t="shared" si="1"/>
        <v>0.66756154008439472</v>
      </c>
      <c r="D36" s="20">
        <f t="shared" si="2"/>
        <v>1.7328019173170843</v>
      </c>
    </row>
    <row r="37" spans="1:4" x14ac:dyDescent="0.25">
      <c r="A37" s="66">
        <v>22</v>
      </c>
      <c r="B37" s="22">
        <f t="shared" si="0"/>
        <v>34.13872120092195</v>
      </c>
      <c r="C37" s="20">
        <f t="shared" si="1"/>
        <v>0.65757731917779372</v>
      </c>
      <c r="D37" s="20">
        <f t="shared" si="2"/>
        <v>1.7069360600460977</v>
      </c>
    </row>
    <row r="38" spans="1:4" x14ac:dyDescent="0.25">
      <c r="A38" s="66">
        <v>22.5</v>
      </c>
      <c r="B38" s="22">
        <f t="shared" si="0"/>
        <v>33.633030149670333</v>
      </c>
      <c r="C38" s="20">
        <f t="shared" si="1"/>
        <v>0.64781748188863753</v>
      </c>
      <c r="D38" s="20">
        <f t="shared" si="2"/>
        <v>1.6816515074835165</v>
      </c>
    </row>
    <row r="39" spans="1:4" x14ac:dyDescent="0.25">
      <c r="A39" s="66">
        <v>23</v>
      </c>
      <c r="B39" s="22">
        <f t="shared" si="0"/>
        <v>33.138454092352696</v>
      </c>
      <c r="C39" s="20">
        <f t="shared" si="1"/>
        <v>0.63827216398240705</v>
      </c>
      <c r="D39" s="20">
        <f t="shared" si="2"/>
        <v>1.6569227046176347</v>
      </c>
    </row>
    <row r="40" spans="1:4" x14ac:dyDescent="0.25">
      <c r="A40" s="66">
        <v>23.5</v>
      </c>
      <c r="B40" s="22">
        <f t="shared" si="0"/>
        <v>32.654514908200191</v>
      </c>
      <c r="C40" s="20">
        <f t="shared" si="1"/>
        <v>0.62893213772826373</v>
      </c>
      <c r="D40" s="20">
        <f t="shared" si="2"/>
        <v>1.6327257454100095</v>
      </c>
    </row>
    <row r="41" spans="1:4" x14ac:dyDescent="0.25">
      <c r="A41" s="66">
        <v>24</v>
      </c>
      <c r="B41" s="22">
        <f t="shared" si="0"/>
        <v>32.180764678155121</v>
      </c>
      <c r="C41" s="20">
        <f t="shared" si="1"/>
        <v>0.61978875828839397</v>
      </c>
      <c r="D41" s="20">
        <f t="shared" si="2"/>
        <v>1.6090382339077562</v>
      </c>
    </row>
    <row r="42" spans="1:4" x14ac:dyDescent="0.25">
      <c r="A42" s="66">
        <v>24.5</v>
      </c>
      <c r="B42" s="22">
        <f t="shared" si="0"/>
        <v>31.716783193547535</v>
      </c>
      <c r="C42" s="20">
        <f t="shared" si="1"/>
        <v>0.61083391563546752</v>
      </c>
      <c r="D42" s="20">
        <f t="shared" si="2"/>
        <v>1.5858391596773767</v>
      </c>
    </row>
    <row r="43" spans="1:4" x14ac:dyDescent="0.25">
      <c r="A43" s="66">
        <v>25</v>
      </c>
      <c r="B43" s="22">
        <f t="shared" si="0"/>
        <v>31.262175716474733</v>
      </c>
      <c r="C43" s="20">
        <f t="shared" si="1"/>
        <v>0.6020599913279624</v>
      </c>
      <c r="D43" s="20">
        <f t="shared" si="2"/>
        <v>1.5631087858237367</v>
      </c>
    </row>
    <row r="44" spans="1:4" x14ac:dyDescent="0.25">
      <c r="A44" s="66">
        <v>25.5</v>
      </c>
      <c r="B44" s="22">
        <f t="shared" si="0"/>
        <v>30.816570961971234</v>
      </c>
      <c r="C44" s="20">
        <f t="shared" si="1"/>
        <v>0.59345981956604488</v>
      </c>
      <c r="D44" s="20">
        <f t="shared" si="2"/>
        <v>1.5408285480985615</v>
      </c>
    </row>
    <row r="45" spans="1:4" x14ac:dyDescent="0.25">
      <c r="A45" s="66">
        <v>26</v>
      </c>
      <c r="B45" s="22">
        <f t="shared" si="0"/>
        <v>30.379619276123417</v>
      </c>
      <c r="C45" s="20">
        <f t="shared" si="1"/>
        <v>0.58502665202918203</v>
      </c>
      <c r="D45" s="20">
        <f t="shared" si="2"/>
        <v>1.5189809638061709</v>
      </c>
    </row>
    <row r="46" spans="1:4" x14ac:dyDescent="0.25">
      <c r="A46" s="22">
        <v>26.5</v>
      </c>
      <c r="B46" s="22">
        <f t="shared" si="0"/>
        <v>29.950990987730158</v>
      </c>
      <c r="C46" s="20">
        <f t="shared" si="1"/>
        <v>0.5767541260631921</v>
      </c>
      <c r="D46" s="20">
        <f t="shared" si="2"/>
        <v>1.4975495493865079</v>
      </c>
    </row>
    <row r="47" spans="1:4" x14ac:dyDescent="0.25">
      <c r="A47" s="22">
        <v>27</v>
      </c>
      <c r="B47" s="22">
        <f t="shared" si="0"/>
        <v>29.530374914042103</v>
      </c>
      <c r="C47" s="20">
        <f t="shared" si="1"/>
        <v>0.56863623584101264</v>
      </c>
      <c r="D47" s="20">
        <f t="shared" si="2"/>
        <v>1.4765187457021052</v>
      </c>
    </row>
    <row r="48" spans="1:4" x14ac:dyDescent="0.25">
      <c r="A48" s="22">
        <v>27.5</v>
      </c>
      <c r="B48" s="22">
        <f t="shared" si="0"/>
        <v>29.117477003613331</v>
      </c>
      <c r="C48" s="20">
        <f t="shared" si="1"/>
        <v>0.56066730616973737</v>
      </c>
      <c r="D48" s="20">
        <f t="shared" si="2"/>
        <v>1.4558738501806665</v>
      </c>
    </row>
    <row r="49" spans="1:4" x14ac:dyDescent="0.25">
      <c r="A49" s="22">
        <v>28</v>
      </c>
      <c r="B49" s="22">
        <f t="shared" si="0"/>
        <v>28.712019101439417</v>
      </c>
      <c r="C49" s="20">
        <f t="shared" si="1"/>
        <v>0.55284196865778079</v>
      </c>
      <c r="D49" s="20">
        <f t="shared" si="2"/>
        <v>1.4356009550719708</v>
      </c>
    </row>
    <row r="50" spans="1:4" x14ac:dyDescent="0.25">
      <c r="A50" s="22">
        <v>28.5</v>
      </c>
      <c r="B50" s="22">
        <f t="shared" si="0"/>
        <v>28.31373782339325</v>
      </c>
      <c r="C50" s="20">
        <f t="shared" si="1"/>
        <v>0.54515513999148979</v>
      </c>
      <c r="D50" s="20">
        <f t="shared" si="2"/>
        <v>1.4156868911696625</v>
      </c>
    </row>
    <row r="51" spans="1:4" x14ac:dyDescent="0.25">
      <c r="A51" s="22">
        <v>29</v>
      </c>
      <c r="B51" s="22">
        <f t="shared" si="0"/>
        <v>27.922383528551496</v>
      </c>
      <c r="C51" s="20">
        <f t="shared" si="1"/>
        <v>0.53760200210104392</v>
      </c>
      <c r="D51" s="20">
        <f t="shared" si="2"/>
        <v>1.3961191764275747</v>
      </c>
    </row>
    <row r="52" spans="1:4" x14ac:dyDescent="0.25">
      <c r="A52" s="22">
        <v>29.5</v>
      </c>
      <c r="B52" s="22">
        <f t="shared" si="0"/>
        <v>27.53771937936979</v>
      </c>
      <c r="C52" s="20">
        <f t="shared" si="1"/>
        <v>0.53017798402183702</v>
      </c>
      <c r="D52" s="20">
        <f t="shared" si="2"/>
        <v>1.3768859689684896</v>
      </c>
    </row>
    <row r="53" spans="1:4" x14ac:dyDescent="0.25">
      <c r="A53" s="22">
        <v>30</v>
      </c>
      <c r="B53" s="22">
        <f t="shared" si="0"/>
        <v>27.159520480846506</v>
      </c>
      <c r="C53" s="20">
        <f t="shared" si="1"/>
        <v>0.52287874528033762</v>
      </c>
      <c r="D53" s="20">
        <f t="shared" si="2"/>
        <v>1.3579760240423253</v>
      </c>
    </row>
    <row r="54" spans="1:4" x14ac:dyDescent="0.25">
      <c r="A54" s="22">
        <v>30.5</v>
      </c>
      <c r="B54" s="22">
        <f t="shared" si="0"/>
        <v>26.787573090840112</v>
      </c>
      <c r="C54" s="20">
        <f t="shared" si="1"/>
        <v>0.51570016065321422</v>
      </c>
      <c r="D54" s="20">
        <f t="shared" si="2"/>
        <v>1.3393786545420057</v>
      </c>
    </row>
    <row r="55" spans="1:4" x14ac:dyDescent="0.25">
      <c r="A55" s="22">
        <v>31</v>
      </c>
      <c r="B55" s="22">
        <f t="shared" si="0"/>
        <v>26.421673894597269</v>
      </c>
      <c r="C55" s="20">
        <f t="shared" si="1"/>
        <v>0.50863830616572736</v>
      </c>
      <c r="D55" s="20">
        <f t="shared" si="2"/>
        <v>1.3210836947298634</v>
      </c>
    </row>
    <row r="56" spans="1:4" x14ac:dyDescent="0.25">
      <c r="A56" s="22">
        <v>31.5</v>
      </c>
      <c r="B56" s="22">
        <f t="shared" si="0"/>
        <v>26.061629337326394</v>
      </c>
      <c r="C56" s="20">
        <f t="shared" si="1"/>
        <v>0.50168944621039946</v>
      </c>
      <c r="D56" s="20">
        <f t="shared" si="2"/>
        <v>1.3030814668663198</v>
      </c>
    </row>
    <row r="57" spans="1:4" x14ac:dyDescent="0.25">
      <c r="A57" s="22">
        <v>32</v>
      </c>
      <c r="B57" s="22">
        <f t="shared" si="0"/>
        <v>25.707255009331295</v>
      </c>
      <c r="C57" s="20">
        <f t="shared" si="1"/>
        <v>0.49485002168009401</v>
      </c>
      <c r="D57" s="20">
        <f t="shared" si="2"/>
        <v>1.2853627504665648</v>
      </c>
    </row>
    <row r="58" spans="1:4" x14ac:dyDescent="0.25">
      <c r="A58" s="22">
        <v>32.5</v>
      </c>
      <c r="B58" s="22">
        <f t="shared" si="0"/>
        <v>25.358375078814799</v>
      </c>
      <c r="C58" s="20">
        <f t="shared" si="1"/>
        <v>0.48811663902112562</v>
      </c>
      <c r="D58" s="20">
        <f t="shared" si="2"/>
        <v>1.2679187539407399</v>
      </c>
    </row>
    <row r="59" spans="1:4" x14ac:dyDescent="0.25">
      <c r="A59" s="22">
        <v>33</v>
      </c>
      <c r="B59" s="22">
        <f t="shared" si="0"/>
        <v>25.014821767985101</v>
      </c>
      <c r="C59" s="20">
        <f t="shared" si="1"/>
        <v>0.48148606012211248</v>
      </c>
      <c r="D59" s="20">
        <f t="shared" si="2"/>
        <v>1.2507410883992551</v>
      </c>
    </row>
    <row r="60" spans="1:4" x14ac:dyDescent="0.25">
      <c r="A60" s="22">
        <v>33.5</v>
      </c>
      <c r="B60" s="22">
        <f t="shared" si="0"/>
        <v>24.676434868557241</v>
      </c>
      <c r="C60" s="20">
        <f t="shared" si="1"/>
        <v>0.47495519296315475</v>
      </c>
      <c r="D60" s="20">
        <f t="shared" si="2"/>
        <v>1.233821743427862</v>
      </c>
    </row>
    <row r="61" spans="1:4" x14ac:dyDescent="0.25">
      <c r="A61" s="22">
        <v>34</v>
      </c>
      <c r="B61" s="22">
        <f t="shared" si="0"/>
        <v>24.3430612931474</v>
      </c>
      <c r="C61" s="20">
        <f t="shared" si="1"/>
        <v>0.46852108295774486</v>
      </c>
      <c r="D61" s="20">
        <f t="shared" si="2"/>
        <v>1.2171530646573698</v>
      </c>
    </row>
    <row r="62" spans="1:4" x14ac:dyDescent="0.25">
      <c r="A62" s="22">
        <v>34.5</v>
      </c>
      <c r="B62" s="22">
        <f t="shared" si="0"/>
        <v>24.01455465941585</v>
      </c>
      <c r="C62" s="20">
        <f t="shared" si="1"/>
        <v>0.46218090492672592</v>
      </c>
      <c r="D62" s="20">
        <f t="shared" si="2"/>
        <v>1.2007277329707926</v>
      </c>
    </row>
    <row r="63" spans="1:4" x14ac:dyDescent="0.25">
      <c r="A63" s="22">
        <v>35</v>
      </c>
      <c r="B63" s="22">
        <f t="shared" si="0"/>
        <v>23.690774904130798</v>
      </c>
      <c r="C63" s="20">
        <f t="shared" si="1"/>
        <v>0.45593195564972439</v>
      </c>
      <c r="D63" s="20">
        <f t="shared" si="2"/>
        <v>1.1845387452065399</v>
      </c>
    </row>
    <row r="64" spans="1:4" x14ac:dyDescent="0.25">
      <c r="A64" s="22">
        <v>35.5</v>
      </c>
      <c r="B64" s="22">
        <f t="shared" si="0"/>
        <v>23.371587924606526</v>
      </c>
      <c r="C64" s="20">
        <f t="shared" si="1"/>
        <v>0.44977164694490596</v>
      </c>
      <c r="D64" s="20">
        <f t="shared" si="2"/>
        <v>1.1685793962303264</v>
      </c>
    </row>
    <row r="65" spans="1:4" x14ac:dyDescent="0.25">
      <c r="A65" s="22">
        <v>36</v>
      </c>
      <c r="B65" s="22">
        <f t="shared" si="0"/>
        <v>23.056865245218276</v>
      </c>
      <c r="C65" s="20">
        <f t="shared" si="1"/>
        <v>0.44369749923271273</v>
      </c>
      <c r="D65" s="20">
        <f t="shared" si="2"/>
        <v>1.1528432622609137</v>
      </c>
    </row>
    <row r="66" spans="1:4" x14ac:dyDescent="0.25">
      <c r="A66" s="22">
        <v>36.5</v>
      </c>
      <c r="B66" s="22">
        <f t="shared" ref="B66:B129" si="3">(C66+$H$19)/$G$20</f>
        <v>22.746483706918408</v>
      </c>
      <c r="C66" s="20">
        <f t="shared" ref="C66:C129" si="4">(-(LOG(A66/100)))</f>
        <v>0.43770713554352531</v>
      </c>
      <c r="D66" s="20">
        <f t="shared" ref="D66:D129" si="5">(500*B66)/10000</f>
        <v>1.1373241853459204</v>
      </c>
    </row>
    <row r="67" spans="1:4" x14ac:dyDescent="0.25">
      <c r="A67" s="22">
        <v>37</v>
      </c>
      <c r="B67" s="22">
        <f t="shared" si="3"/>
        <v>22.440325177875906</v>
      </c>
      <c r="C67" s="20">
        <f t="shared" si="4"/>
        <v>0.43179827593300502</v>
      </c>
      <c r="D67" s="20">
        <f t="shared" si="5"/>
        <v>1.1220162588937952</v>
      </c>
    </row>
    <row r="68" spans="1:4" x14ac:dyDescent="0.25">
      <c r="A68" s="22">
        <v>37.5</v>
      </c>
      <c r="B68" s="22">
        <f t="shared" si="3"/>
        <v>22.138276283537884</v>
      </c>
      <c r="C68" s="20">
        <f t="shared" si="4"/>
        <v>0.42596873227228116</v>
      </c>
      <c r="D68" s="20">
        <f t="shared" si="5"/>
        <v>1.1069138141768942</v>
      </c>
    </row>
    <row r="69" spans="1:4" x14ac:dyDescent="0.25">
      <c r="A69" s="22">
        <v>38</v>
      </c>
      <c r="B69" s="22">
        <f t="shared" si="3"/>
        <v>21.84022815456942</v>
      </c>
      <c r="C69" s="20">
        <f t="shared" si="4"/>
        <v>0.42021640338318983</v>
      </c>
      <c r="D69" s="20">
        <f t="shared" si="5"/>
        <v>1.0920114077284711</v>
      </c>
    </row>
    <row r="70" spans="1:4" x14ac:dyDescent="0.25">
      <c r="A70" s="22">
        <v>38.5</v>
      </c>
      <c r="B70" s="22">
        <f t="shared" si="3"/>
        <v>21.546076191269393</v>
      </c>
      <c r="C70" s="20">
        <f t="shared" si="4"/>
        <v>0.4145392704914993</v>
      </c>
      <c r="D70" s="20">
        <f t="shared" si="5"/>
        <v>1.0773038095634697</v>
      </c>
    </row>
    <row r="71" spans="1:4" x14ac:dyDescent="0.25">
      <c r="A71" s="22">
        <v>39</v>
      </c>
      <c r="B71" s="22">
        <f t="shared" si="3"/>
        <v>21.255719843186569</v>
      </c>
      <c r="C71" s="20">
        <f t="shared" si="4"/>
        <v>0.40893539297350079</v>
      </c>
      <c r="D71" s="20">
        <f t="shared" si="5"/>
        <v>1.0627859921593286</v>
      </c>
    </row>
    <row r="72" spans="1:4" x14ac:dyDescent="0.25">
      <c r="A72" s="22">
        <v>39.5</v>
      </c>
      <c r="B72" s="22">
        <f t="shared" si="3"/>
        <v>20.969062402774082</v>
      </c>
      <c r="C72" s="20">
        <f t="shared" si="4"/>
        <v>0.40340290437353976</v>
      </c>
      <c r="D72" s="20">
        <f t="shared" si="5"/>
        <v>1.0484531201387042</v>
      </c>
    </row>
    <row r="73" spans="1:4" x14ac:dyDescent="0.25">
      <c r="A73" s="22">
        <v>40</v>
      </c>
      <c r="B73" s="22">
        <f t="shared" si="3"/>
        <v>20.686010812022673</v>
      </c>
      <c r="C73" s="20">
        <f t="shared" si="4"/>
        <v>0.3979400086720376</v>
      </c>
      <c r="D73" s="20">
        <f t="shared" si="5"/>
        <v>1.0343005406011336</v>
      </c>
    </row>
    <row r="74" spans="1:4" x14ac:dyDescent="0.25">
      <c r="A74" s="22">
        <v>40.5</v>
      </c>
      <c r="B74" s="22">
        <f t="shared" si="3"/>
        <v>20.406475481105254</v>
      </c>
      <c r="C74" s="20">
        <f t="shared" si="4"/>
        <v>0.3925449767853314</v>
      </c>
      <c r="D74" s="20">
        <f t="shared" si="5"/>
        <v>1.0203237740552629</v>
      </c>
    </row>
    <row r="75" spans="1:4" x14ac:dyDescent="0.25">
      <c r="A75" s="22">
        <v>41</v>
      </c>
      <c r="B75" s="22">
        <f t="shared" si="3"/>
        <v>20.130370118148424</v>
      </c>
      <c r="C75" s="20">
        <f t="shared" si="4"/>
        <v>0.38721614328026455</v>
      </c>
      <c r="D75" s="20">
        <f t="shared" si="5"/>
        <v>1.0065185059074213</v>
      </c>
    </row>
    <row r="76" spans="1:4" x14ac:dyDescent="0.25">
      <c r="A76" s="22">
        <v>41.5</v>
      </c>
      <c r="B76" s="22">
        <f t="shared" si="3"/>
        <v>19.85761156932162</v>
      </c>
      <c r="C76" s="20">
        <f t="shared" si="4"/>
        <v>0.38195190328790729</v>
      </c>
      <c r="D76" s="20">
        <f t="shared" si="5"/>
        <v>0.99288057846608102</v>
      </c>
    </row>
    <row r="77" spans="1:4" x14ac:dyDescent="0.25">
      <c r="A77" s="22">
        <v>42</v>
      </c>
      <c r="B77" s="22">
        <f t="shared" si="3"/>
        <v>19.588119668502568</v>
      </c>
      <c r="C77" s="20">
        <f t="shared" si="4"/>
        <v>0.37675070960209955</v>
      </c>
      <c r="D77" s="20">
        <f t="shared" si="5"/>
        <v>0.97940598342512841</v>
      </c>
    </row>
    <row r="78" spans="1:4" x14ac:dyDescent="0.25">
      <c r="A78" s="22">
        <v>42.5</v>
      </c>
      <c r="B78" s="22">
        <f t="shared" si="3"/>
        <v>19.321817095838782</v>
      </c>
      <c r="C78" s="20">
        <f t="shared" si="4"/>
        <v>0.37161106994968846</v>
      </c>
      <c r="D78" s="20">
        <f t="shared" si="5"/>
        <v>0.96609085479193912</v>
      </c>
    </row>
    <row r="79" spans="1:4" x14ac:dyDescent="0.25">
      <c r="A79" s="22">
        <v>43</v>
      </c>
      <c r="B79" s="22">
        <f t="shared" si="3"/>
        <v>19.058629244581009</v>
      </c>
      <c r="C79" s="20">
        <f t="shared" si="4"/>
        <v>0.36653154442041347</v>
      </c>
      <c r="D79" s="20">
        <f t="shared" si="5"/>
        <v>0.95293146222905056</v>
      </c>
    </row>
    <row r="80" spans="1:4" x14ac:dyDescent="0.25">
      <c r="A80" s="22">
        <v>43.5</v>
      </c>
      <c r="B80" s="22">
        <f t="shared" si="3"/>
        <v>18.798484095614647</v>
      </c>
      <c r="C80" s="20">
        <f t="shared" si="4"/>
        <v>0.36151074304536268</v>
      </c>
      <c r="D80" s="20">
        <f t="shared" si="5"/>
        <v>0.93992420478073235</v>
      </c>
    </row>
    <row r="81" spans="1:4" x14ac:dyDescent="0.25">
      <c r="A81" s="22">
        <v>44</v>
      </c>
      <c r="B81" s="22">
        <f t="shared" si="3"/>
        <v>18.541312099161274</v>
      </c>
      <c r="C81" s="20">
        <f t="shared" si="4"/>
        <v>0.35654732351381258</v>
      </c>
      <c r="D81" s="20">
        <f t="shared" si="5"/>
        <v>0.92706560495806367</v>
      </c>
    </row>
    <row r="82" spans="1:4" x14ac:dyDescent="0.25">
      <c r="A82" s="22">
        <v>44.5</v>
      </c>
      <c r="B82" s="22">
        <f t="shared" si="3"/>
        <v>18.287046063164166</v>
      </c>
      <c r="C82" s="20">
        <f t="shared" si="4"/>
        <v>0.3516399890190684</v>
      </c>
      <c r="D82" s="20">
        <f t="shared" si="5"/>
        <v>0.91435230315820826</v>
      </c>
    </row>
    <row r="83" spans="1:4" x14ac:dyDescent="0.25">
      <c r="A83" s="22">
        <v>45</v>
      </c>
      <c r="B83" s="22">
        <f t="shared" si="3"/>
        <v>18.035621047909654</v>
      </c>
      <c r="C83" s="20">
        <f t="shared" si="4"/>
        <v>0.34678748622465633</v>
      </c>
      <c r="D83" s="20">
        <f t="shared" si="5"/>
        <v>0.90178105239548279</v>
      </c>
    </row>
    <row r="84" spans="1:4" x14ac:dyDescent="0.25">
      <c r="A84" s="22">
        <v>45.5</v>
      </c>
      <c r="B84" s="22">
        <f t="shared" si="3"/>
        <v>17.786974266470857</v>
      </c>
      <c r="C84" s="20">
        <f t="shared" si="4"/>
        <v>0.34198860334288755</v>
      </c>
      <c r="D84" s="20">
        <f t="shared" si="5"/>
        <v>0.88934871332354282</v>
      </c>
    </row>
    <row r="85" spans="1:4" x14ac:dyDescent="0.25">
      <c r="A85" s="22">
        <v>46</v>
      </c>
      <c r="B85" s="22">
        <f t="shared" si="3"/>
        <v>17.541044990592017</v>
      </c>
      <c r="C85" s="20">
        <f t="shared" si="4"/>
        <v>0.33724216831842591</v>
      </c>
      <c r="D85" s="20">
        <f t="shared" si="5"/>
        <v>0.87705224952960092</v>
      </c>
    </row>
    <row r="86" spans="1:4" x14ac:dyDescent="0.25">
      <c r="A86" s="22">
        <v>46.5</v>
      </c>
      <c r="B86" s="22">
        <f t="shared" si="3"/>
        <v>17.297774461660417</v>
      </c>
      <c r="C86" s="20">
        <f t="shared" si="4"/>
        <v>0.33254704711004607</v>
      </c>
      <c r="D86" s="20">
        <f t="shared" si="5"/>
        <v>0.86488872308302089</v>
      </c>
    </row>
    <row r="87" spans="1:4" x14ac:dyDescent="0.25">
      <c r="A87" s="22">
        <v>47</v>
      </c>
      <c r="B87" s="22">
        <f t="shared" si="3"/>
        <v>17.057105806439512</v>
      </c>
      <c r="C87" s="20">
        <f t="shared" si="4"/>
        <v>0.32790214206428259</v>
      </c>
      <c r="D87" s="20">
        <f t="shared" si="5"/>
        <v>0.8528552903219756</v>
      </c>
    </row>
    <row r="88" spans="1:4" x14ac:dyDescent="0.25">
      <c r="A88" s="22">
        <v>47.5</v>
      </c>
      <c r="B88" s="22">
        <f t="shared" si="3"/>
        <v>16.818983957260798</v>
      </c>
      <c r="C88" s="20">
        <f t="shared" si="4"/>
        <v>0.32330639037513342</v>
      </c>
      <c r="D88" s="20">
        <f t="shared" si="5"/>
        <v>0.84094919786303979</v>
      </c>
    </row>
    <row r="89" spans="1:4" x14ac:dyDescent="0.25">
      <c r="A89" s="22">
        <v>48</v>
      </c>
      <c r="B89" s="22">
        <f t="shared" si="3"/>
        <v>16.583355576394446</v>
      </c>
      <c r="C89" s="20">
        <f t="shared" si="4"/>
        <v>0.31875876262441277</v>
      </c>
      <c r="D89" s="20">
        <f t="shared" si="5"/>
        <v>0.82916777881972226</v>
      </c>
    </row>
    <row r="90" spans="1:4" x14ac:dyDescent="0.25">
      <c r="A90" s="22">
        <v>48.5</v>
      </c>
      <c r="B90" s="22">
        <f t="shared" si="3"/>
        <v>16.350168984338673</v>
      </c>
      <c r="C90" s="20">
        <f t="shared" si="4"/>
        <v>0.31425826139773638</v>
      </c>
      <c r="D90" s="20">
        <f t="shared" si="5"/>
        <v>0.81750844921693355</v>
      </c>
    </row>
    <row r="91" spans="1:4" x14ac:dyDescent="0.25">
      <c r="A91" s="22">
        <v>49</v>
      </c>
      <c r="B91" s="22">
        <f t="shared" si="3"/>
        <v>16.119374091786856</v>
      </c>
      <c r="C91" s="20">
        <f t="shared" si="4"/>
        <v>0.30980391997148632</v>
      </c>
      <c r="D91" s="20">
        <f t="shared" si="5"/>
        <v>0.80596870458934278</v>
      </c>
    </row>
    <row r="92" spans="1:4" x14ac:dyDescent="0.25">
      <c r="A92" s="22">
        <v>49.5</v>
      </c>
      <c r="B92" s="22">
        <f t="shared" si="3"/>
        <v>15.890922335048254</v>
      </c>
      <c r="C92" s="20">
        <f t="shared" si="4"/>
        <v>0.3053948010664313</v>
      </c>
      <c r="D92" s="20">
        <f t="shared" si="5"/>
        <v>0.79454611675241271</v>
      </c>
    </row>
    <row r="93" spans="1:4" x14ac:dyDescent="0.25">
      <c r="A93" s="22">
        <v>50</v>
      </c>
      <c r="B93" s="22">
        <f t="shared" si="3"/>
        <v>15.664766614714052</v>
      </c>
      <c r="C93" s="20">
        <f t="shared" si="4"/>
        <v>0.3010299956639812</v>
      </c>
      <c r="D93" s="20">
        <f t="shared" si="5"/>
        <v>0.78323833073570259</v>
      </c>
    </row>
    <row r="94" spans="1:4" x14ac:dyDescent="0.25">
      <c r="A94" s="22">
        <v>50.5</v>
      </c>
      <c r="B94" s="22">
        <f t="shared" si="3"/>
        <v>15.440861237375058</v>
      </c>
      <c r="C94" s="20">
        <f t="shared" si="4"/>
        <v>0.29670862188133862</v>
      </c>
      <c r="D94" s="20">
        <f t="shared" si="5"/>
        <v>0.77204306186875293</v>
      </c>
    </row>
    <row r="95" spans="1:4" x14ac:dyDescent="0.25">
      <c r="A95" s="22">
        <v>51</v>
      </c>
      <c r="B95" s="22">
        <f t="shared" si="3"/>
        <v>15.219161860210551</v>
      </c>
      <c r="C95" s="20">
        <f t="shared" si="4"/>
        <v>0.29242982390206362</v>
      </c>
      <c r="D95" s="20">
        <f t="shared" si="5"/>
        <v>0.76095809301052764</v>
      </c>
    </row>
    <row r="96" spans="1:4" x14ac:dyDescent="0.25">
      <c r="A96" s="22">
        <v>51.5</v>
      </c>
      <c r="B96" s="22">
        <f t="shared" si="3"/>
        <v>14.999625438280258</v>
      </c>
      <c r="C96" s="20">
        <f t="shared" si="4"/>
        <v>0.28819277095880896</v>
      </c>
      <c r="D96" s="20">
        <f t="shared" si="5"/>
        <v>0.74998127191401287</v>
      </c>
    </row>
    <row r="97" spans="1:4" x14ac:dyDescent="0.25">
      <c r="A97" s="22">
        <v>52</v>
      </c>
      <c r="B97" s="22">
        <f t="shared" si="3"/>
        <v>14.782210174362737</v>
      </c>
      <c r="C97" s="20">
        <f t="shared" si="4"/>
        <v>0.28399665636520083</v>
      </c>
      <c r="D97" s="20">
        <f t="shared" si="5"/>
        <v>0.73911050871813688</v>
      </c>
    </row>
    <row r="98" spans="1:4" x14ac:dyDescent="0.25">
      <c r="A98" s="22">
        <v>52.5</v>
      </c>
      <c r="B98" s="22">
        <f t="shared" si="3"/>
        <v>14.566875471193942</v>
      </c>
      <c r="C98" s="20">
        <f t="shared" si="4"/>
        <v>0.27984069659404309</v>
      </c>
      <c r="D98" s="20">
        <f t="shared" si="5"/>
        <v>0.72834377355969704</v>
      </c>
    </row>
    <row r="99" spans="1:4" x14ac:dyDescent="0.25">
      <c r="A99" s="22">
        <v>53</v>
      </c>
      <c r="B99" s="22">
        <f t="shared" si="3"/>
        <v>14.353581885969479</v>
      </c>
      <c r="C99" s="20">
        <f t="shared" si="4"/>
        <v>0.27572413039921095</v>
      </c>
      <c r="D99" s="20">
        <f t="shared" si="5"/>
        <v>0.71767909429847399</v>
      </c>
    </row>
    <row r="100" spans="1:4" x14ac:dyDescent="0.25">
      <c r="A100" s="22">
        <v>53.5</v>
      </c>
      <c r="B100" s="22">
        <f t="shared" si="3"/>
        <v>14.142291086982981</v>
      </c>
      <c r="C100" s="20">
        <f t="shared" si="4"/>
        <v>0.27164621797877153</v>
      </c>
      <c r="D100" s="20">
        <f t="shared" si="5"/>
        <v>0.70711455434914905</v>
      </c>
    </row>
    <row r="101" spans="1:4" x14ac:dyDescent="0.25">
      <c r="A101" s="22">
        <v>54</v>
      </c>
      <c r="B101" s="22">
        <f t="shared" si="3"/>
        <v>13.932965812281422</v>
      </c>
      <c r="C101" s="20">
        <f t="shared" si="4"/>
        <v>0.26760624017703144</v>
      </c>
      <c r="D101" s="20">
        <f t="shared" si="5"/>
        <v>0.69664829061407108</v>
      </c>
    </row>
    <row r="102" spans="1:4" x14ac:dyDescent="0.25">
      <c r="A102" s="22">
        <v>54.5</v>
      </c>
      <c r="B102" s="22">
        <f t="shared" si="3"/>
        <v>13.725569830225778</v>
      </c>
      <c r="C102" s="20">
        <f t="shared" si="4"/>
        <v>0.2636034977233575</v>
      </c>
      <c r="D102" s="20">
        <f t="shared" si="5"/>
        <v>0.68627849151128895</v>
      </c>
    </row>
    <row r="103" spans="1:4" x14ac:dyDescent="0.25">
      <c r="A103" s="22">
        <v>55</v>
      </c>
      <c r="B103" s="22">
        <f t="shared" si="3"/>
        <v>13.520067901852649</v>
      </c>
      <c r="C103" s="20">
        <f t="shared" si="4"/>
        <v>0.25963731050575611</v>
      </c>
      <c r="D103" s="20">
        <f t="shared" si="5"/>
        <v>0.67600339509263241</v>
      </c>
    </row>
    <row r="104" spans="1:4" x14ac:dyDescent="0.25">
      <c r="A104" s="22">
        <v>55.5</v>
      </c>
      <c r="B104" s="22">
        <f t="shared" si="3"/>
        <v>13.316425744939053</v>
      </c>
      <c r="C104" s="20">
        <f t="shared" si="4"/>
        <v>0.25570701687732372</v>
      </c>
      <c r="D104" s="20">
        <f t="shared" si="5"/>
        <v>0.66582128724695266</v>
      </c>
    </row>
    <row r="105" spans="1:4" x14ac:dyDescent="0.25">
      <c r="A105" s="22">
        <v>56</v>
      </c>
      <c r="B105" s="22">
        <f t="shared" si="3"/>
        <v>13.114609999678732</v>
      </c>
      <c r="C105" s="20">
        <f t="shared" si="4"/>
        <v>0.25181197299379954</v>
      </c>
      <c r="D105" s="20">
        <f t="shared" si="5"/>
        <v>0.65573049998393662</v>
      </c>
    </row>
    <row r="106" spans="1:4" x14ac:dyDescent="0.25">
      <c r="A106" s="22">
        <v>56.5</v>
      </c>
      <c r="B106" s="22">
        <f t="shared" si="3"/>
        <v>12.914588195884015</v>
      </c>
      <c r="C106" s="20">
        <f t="shared" si="4"/>
        <v>0.2479515521805615</v>
      </c>
      <c r="D106" s="20">
        <f t="shared" si="5"/>
        <v>0.64572940979420068</v>
      </c>
    </row>
    <row r="107" spans="1:4" x14ac:dyDescent="0.25">
      <c r="A107" s="22">
        <v>57</v>
      </c>
      <c r="B107" s="22">
        <f t="shared" si="3"/>
        <v>12.716328721632571</v>
      </c>
      <c r="C107" s="20">
        <f t="shared" si="4"/>
        <v>0.24412514432750865</v>
      </c>
      <c r="D107" s="20">
        <f t="shared" si="5"/>
        <v>0.63581643608162863</v>
      </c>
    </row>
    <row r="108" spans="1:4" x14ac:dyDescent="0.25">
      <c r="A108" s="22">
        <v>57.5</v>
      </c>
      <c r="B108" s="22">
        <f t="shared" si="3"/>
        <v>12.519800793283396</v>
      </c>
      <c r="C108" s="20">
        <f t="shared" si="4"/>
        <v>0.24033215531036956</v>
      </c>
      <c r="D108" s="20">
        <f t="shared" si="5"/>
        <v>0.62599003966416988</v>
      </c>
    </row>
    <row r="109" spans="1:4" x14ac:dyDescent="0.25">
      <c r="A109" s="22">
        <v>58</v>
      </c>
      <c r="B109" s="22">
        <f t="shared" si="3"/>
        <v>12.324974426790815</v>
      </c>
      <c r="C109" s="20">
        <f t="shared" si="4"/>
        <v>0.23657200643706275</v>
      </c>
      <c r="D109" s="20">
        <f t="shared" si="5"/>
        <v>0.61624872133954078</v>
      </c>
    </row>
    <row r="110" spans="1:4" x14ac:dyDescent="0.25">
      <c r="A110" s="22">
        <v>58.5</v>
      </c>
      <c r="B110" s="22">
        <f t="shared" si="3"/>
        <v>12.131820410249718</v>
      </c>
      <c r="C110" s="20">
        <f t="shared" si="4"/>
        <v>0.23284413391781958</v>
      </c>
      <c r="D110" s="20">
        <f t="shared" si="5"/>
        <v>0.60659102051248592</v>
      </c>
    </row>
    <row r="111" spans="1:4" x14ac:dyDescent="0.25">
      <c r="A111" s="22">
        <v>59</v>
      </c>
      <c r="B111" s="22">
        <f t="shared" si="3"/>
        <v>11.940310277609109</v>
      </c>
      <c r="C111" s="20">
        <f t="shared" si="4"/>
        <v>0.22914798835785583</v>
      </c>
      <c r="D111" s="20">
        <f t="shared" si="5"/>
        <v>0.59701551388045548</v>
      </c>
    </row>
    <row r="112" spans="1:4" x14ac:dyDescent="0.25">
      <c r="A112" s="22">
        <v>59.5</v>
      </c>
      <c r="B112" s="22">
        <f t="shared" si="3"/>
        <v>11.750416283494841</v>
      </c>
      <c r="C112" s="20">
        <f t="shared" si="4"/>
        <v>0.22548303427145044</v>
      </c>
      <c r="D112" s="20">
        <f t="shared" si="5"/>
        <v>0.58752081417474211</v>
      </c>
    </row>
    <row r="113" spans="1:4" x14ac:dyDescent="0.25">
      <c r="A113" s="22">
        <v>60</v>
      </c>
      <c r="B113" s="22">
        <f t="shared" si="3"/>
        <v>11.562111379085822</v>
      </c>
      <c r="C113" s="20">
        <f t="shared" si="4"/>
        <v>0.22184874961635639</v>
      </c>
      <c r="D113" s="20">
        <f t="shared" si="5"/>
        <v>0.5781055689542911</v>
      </c>
    </row>
    <row r="114" spans="1:4" x14ac:dyDescent="0.25">
      <c r="A114" s="22">
        <v>60.5</v>
      </c>
      <c r="B114" s="22">
        <f t="shared" si="3"/>
        <v>11.375369188991248</v>
      </c>
      <c r="C114" s="20">
        <f t="shared" si="4"/>
        <v>0.21824462534753111</v>
      </c>
      <c r="D114" s="20">
        <f t="shared" si="5"/>
        <v>0.56876845944956245</v>
      </c>
    </row>
    <row r="115" spans="1:4" x14ac:dyDescent="0.25">
      <c r="A115" s="22">
        <v>61</v>
      </c>
      <c r="B115" s="22">
        <f t="shared" si="3"/>
        <v>11.190163989079428</v>
      </c>
      <c r="C115" s="20">
        <f t="shared" si="4"/>
        <v>0.21467016498923297</v>
      </c>
      <c r="D115" s="20">
        <f t="shared" si="5"/>
        <v>0.55950819945397146</v>
      </c>
    </row>
    <row r="116" spans="1:4" x14ac:dyDescent="0.25">
      <c r="A116" s="22">
        <v>61.5</v>
      </c>
      <c r="B116" s="22">
        <f t="shared" si="3"/>
        <v>11.006470685211568</v>
      </c>
      <c r="C116" s="20">
        <f t="shared" si="4"/>
        <v>0.21112488422458328</v>
      </c>
      <c r="D116" s="20">
        <f t="shared" si="5"/>
        <v>0.55032353426057834</v>
      </c>
    </row>
    <row r="117" spans="1:4" x14ac:dyDescent="0.25">
      <c r="A117" s="22">
        <v>62</v>
      </c>
      <c r="B117" s="22">
        <f t="shared" si="3"/>
        <v>10.824264792836587</v>
      </c>
      <c r="C117" s="20">
        <f t="shared" si="4"/>
        <v>0.20760831050174613</v>
      </c>
      <c r="D117" s="20">
        <f t="shared" si="5"/>
        <v>0.54121323964182944</v>
      </c>
    </row>
    <row r="118" spans="1:4" x14ac:dyDescent="0.25">
      <c r="A118" s="22">
        <v>62.5</v>
      </c>
      <c r="B118" s="22">
        <f t="shared" si="3"/>
        <v>10.643522417405428</v>
      </c>
      <c r="C118" s="20">
        <f t="shared" si="4"/>
        <v>0.20411998265592479</v>
      </c>
      <c r="D118" s="20">
        <f t="shared" si="5"/>
        <v>0.53217612087027144</v>
      </c>
    </row>
    <row r="119" spans="1:4" x14ac:dyDescent="0.25">
      <c r="A119" s="22">
        <v>63</v>
      </c>
      <c r="B119" s="22">
        <f t="shared" si="3"/>
        <v>10.464220235565714</v>
      </c>
      <c r="C119" s="20">
        <f t="shared" si="4"/>
        <v>0.20065945054641829</v>
      </c>
      <c r="D119" s="20">
        <f t="shared" si="5"/>
        <v>0.52321101177828566</v>
      </c>
    </row>
    <row r="120" spans="1:4" x14ac:dyDescent="0.25">
      <c r="A120" s="22">
        <v>63.5</v>
      </c>
      <c r="B120" s="22">
        <f t="shared" si="3"/>
        <v>10.286335477099705</v>
      </c>
      <c r="C120" s="20">
        <f t="shared" si="4"/>
        <v>0.19722627470802431</v>
      </c>
      <c r="D120" s="20">
        <f t="shared" si="5"/>
        <v>0.5143167738549852</v>
      </c>
    </row>
    <row r="121" spans="1:4" x14ac:dyDescent="0.25">
      <c r="A121" s="22">
        <v>64</v>
      </c>
      <c r="B121" s="22">
        <f t="shared" si="3"/>
        <v>10.109845907570611</v>
      </c>
      <c r="C121" s="20">
        <f t="shared" si="4"/>
        <v>0.19382002601611281</v>
      </c>
      <c r="D121" s="20">
        <f t="shared" si="5"/>
        <v>0.50549229537853058</v>
      </c>
    </row>
    <row r="122" spans="1:4" x14ac:dyDescent="0.25">
      <c r="A122" s="22">
        <v>64.5</v>
      </c>
      <c r="B122" s="22">
        <f t="shared" si="3"/>
        <v>9.9347298116441554</v>
      </c>
      <c r="C122" s="20">
        <f t="shared" si="4"/>
        <v>0.19044028536473223</v>
      </c>
      <c r="D122" s="20">
        <f t="shared" si="5"/>
        <v>0.49673649058220781</v>
      </c>
    </row>
    <row r="123" spans="1:4" x14ac:dyDescent="0.25">
      <c r="A123" s="22">
        <v>65</v>
      </c>
      <c r="B123" s="22">
        <f t="shared" si="3"/>
        <v>9.7609659770541146</v>
      </c>
      <c r="C123" s="20">
        <f t="shared" si="4"/>
        <v>0.18708664335714442</v>
      </c>
      <c r="D123" s="20">
        <f t="shared" si="5"/>
        <v>0.48804829885270573</v>
      </c>
    </row>
    <row r="124" spans="1:4" x14ac:dyDescent="0.25">
      <c r="A124" s="22">
        <v>65.5</v>
      </c>
      <c r="B124" s="22">
        <f t="shared" si="3"/>
        <v>9.5885336791822233</v>
      </c>
      <c r="C124" s="20">
        <f t="shared" si="4"/>
        <v>0.18375870000821692</v>
      </c>
      <c r="D124" s="20">
        <f t="shared" si="5"/>
        <v>0.47942668395911114</v>
      </c>
    </row>
    <row r="125" spans="1:4" x14ac:dyDescent="0.25">
      <c r="A125" s="22">
        <v>66</v>
      </c>
      <c r="B125" s="22">
        <f t="shared" si="3"/>
        <v>9.4174126662244202</v>
      </c>
      <c r="C125" s="20">
        <f t="shared" si="4"/>
        <v>0.18045606445813131</v>
      </c>
      <c r="D125" s="20">
        <f t="shared" si="5"/>
        <v>0.47087063331122098</v>
      </c>
    </row>
    <row r="126" spans="1:4" x14ac:dyDescent="0.25">
      <c r="A126" s="22">
        <v>66.5</v>
      </c>
      <c r="B126" s="22">
        <f t="shared" si="3"/>
        <v>9.2475831449168577</v>
      </c>
      <c r="C126" s="20">
        <f t="shared" si="4"/>
        <v>0.17717835469689538</v>
      </c>
      <c r="D126" s="20">
        <f t="shared" si="5"/>
        <v>0.46237915724584289</v>
      </c>
    </row>
    <row r="127" spans="1:4" x14ac:dyDescent="0.25">
      <c r="A127" s="22">
        <v>67</v>
      </c>
      <c r="B127" s="22">
        <f t="shared" si="3"/>
        <v>9.0790257667965566</v>
      </c>
      <c r="C127" s="20">
        <f t="shared" si="4"/>
        <v>0.17392519729917355</v>
      </c>
      <c r="D127" s="20">
        <f t="shared" si="5"/>
        <v>0.45395128833982779</v>
      </c>
    </row>
    <row r="128" spans="1:4" x14ac:dyDescent="0.25">
      <c r="A128" s="22">
        <v>67.5</v>
      </c>
      <c r="B128" s="22">
        <f t="shared" si="3"/>
        <v>8.9117216149727998</v>
      </c>
      <c r="C128" s="20">
        <f t="shared" si="4"/>
        <v>0.17069622716897506</v>
      </c>
      <c r="D128" s="20">
        <f t="shared" si="5"/>
        <v>0.44558608074863998</v>
      </c>
    </row>
    <row r="129" spans="1:4" x14ac:dyDescent="0.25">
      <c r="A129" s="22">
        <v>68</v>
      </c>
      <c r="B129" s="22">
        <f t="shared" si="3"/>
        <v>8.7456521913867178</v>
      </c>
      <c r="C129" s="20">
        <f t="shared" si="4"/>
        <v>0.16749108729376366</v>
      </c>
      <c r="D129" s="20">
        <f t="shared" si="5"/>
        <v>0.4372826095693359</v>
      </c>
    </row>
    <row r="130" spans="1:4" x14ac:dyDescent="0.25">
      <c r="A130" s="22">
        <v>68.5</v>
      </c>
      <c r="B130" s="22">
        <f t="shared" ref="B130:B193" si="6">(C130+$H$19)/$G$20</f>
        <v>8.5807994045375331</v>
      </c>
      <c r="C130" s="20">
        <f t="shared" ref="C130:C193" si="7">(-(LOG(A130/100)))</f>
        <v>0.16430942850757441</v>
      </c>
      <c r="D130" s="20">
        <f t="shared" ref="D130:D193" si="8">(500*B130)/10000</f>
        <v>0.42903997022687662</v>
      </c>
    </row>
    <row r="131" spans="1:4" x14ac:dyDescent="0.25">
      <c r="A131" s="22">
        <v>69</v>
      </c>
      <c r="B131" s="22">
        <f t="shared" si="6"/>
        <v>8.4171455576551661</v>
      </c>
      <c r="C131" s="20">
        <f t="shared" si="7"/>
        <v>0.16115090926274472</v>
      </c>
      <c r="D131" s="20">
        <f t="shared" si="8"/>
        <v>0.42085727788275828</v>
      </c>
    </row>
    <row r="132" spans="1:4" x14ac:dyDescent="0.25">
      <c r="A132" s="22">
        <v>69.5</v>
      </c>
      <c r="B132" s="22">
        <f t="shared" si="6"/>
        <v>8.2546733372997991</v>
      </c>
      <c r="C132" s="20">
        <f t="shared" si="7"/>
        <v>0.15801519540988615</v>
      </c>
      <c r="D132" s="20">
        <f t="shared" si="8"/>
        <v>0.41273366686498991</v>
      </c>
    </row>
    <row r="133" spans="1:4" x14ac:dyDescent="0.25">
      <c r="A133" s="22">
        <v>70</v>
      </c>
      <c r="B133" s="22">
        <f t="shared" si="6"/>
        <v>8.093365802370112</v>
      </c>
      <c r="C133" s="20">
        <f t="shared" si="7"/>
        <v>0.15490195998574319</v>
      </c>
      <c r="D133" s="20">
        <f t="shared" si="8"/>
        <v>0.40466829011850558</v>
      </c>
    </row>
    <row r="134" spans="1:4" x14ac:dyDescent="0.25">
      <c r="A134" s="22">
        <v>70.5</v>
      </c>
      <c r="B134" s="22">
        <f t="shared" si="6"/>
        <v>7.9332063735026583</v>
      </c>
      <c r="C134" s="20">
        <f t="shared" si="7"/>
        <v>0.15181088300860132</v>
      </c>
      <c r="D134" s="20">
        <f t="shared" si="8"/>
        <v>0.39666031867513291</v>
      </c>
    </row>
    <row r="135" spans="1:4" x14ac:dyDescent="0.25">
      <c r="A135" s="22">
        <v>71</v>
      </c>
      <c r="B135" s="22">
        <f t="shared" si="6"/>
        <v>7.7741788228458404</v>
      </c>
      <c r="C135" s="20">
        <f t="shared" si="7"/>
        <v>0.14874165128092473</v>
      </c>
      <c r="D135" s="20">
        <f t="shared" si="8"/>
        <v>0.38870894114229204</v>
      </c>
    </row>
    <row r="136" spans="1:4" x14ac:dyDescent="0.25">
      <c r="A136" s="22">
        <v>71.5</v>
      </c>
      <c r="B136" s="22">
        <f t="shared" si="6"/>
        <v>7.6162672641927136</v>
      </c>
      <c r="C136" s="20">
        <f t="shared" si="7"/>
        <v>0.14569395819891939</v>
      </c>
      <c r="D136" s="20">
        <f t="shared" si="8"/>
        <v>0.38081336320963571</v>
      </c>
    </row>
    <row r="137" spans="1:4" x14ac:dyDescent="0.25">
      <c r="A137" s="22">
        <v>72</v>
      </c>
      <c r="B137" s="22">
        <f t="shared" si="6"/>
        <v>7.4594561434575937</v>
      </c>
      <c r="C137" s="20">
        <f t="shared" si="7"/>
        <v>0.14266750356873156</v>
      </c>
      <c r="D137" s="20">
        <f t="shared" si="8"/>
        <v>0.37297280717287967</v>
      </c>
    </row>
    <row r="138" spans="1:4" x14ac:dyDescent="0.25">
      <c r="A138" s="22">
        <v>72.5</v>
      </c>
      <c r="B138" s="22">
        <f t="shared" si="6"/>
        <v>7.3037302294821922</v>
      </c>
      <c r="C138" s="20">
        <f t="shared" si="7"/>
        <v>0.13966199342900631</v>
      </c>
      <c r="D138" s="20">
        <f t="shared" si="8"/>
        <v>0.36518651147410958</v>
      </c>
    </row>
    <row r="139" spans="1:4" x14ac:dyDescent="0.25">
      <c r="A139" s="22">
        <v>73</v>
      </c>
      <c r="B139" s="22">
        <f t="shared" si="6"/>
        <v>7.1490746051577254</v>
      </c>
      <c r="C139" s="20">
        <f t="shared" si="7"/>
        <v>0.13667713987954411</v>
      </c>
      <c r="D139" s="20">
        <f t="shared" si="8"/>
        <v>0.35745373025788624</v>
      </c>
    </row>
    <row r="140" spans="1:4" x14ac:dyDescent="0.25">
      <c r="A140" s="22">
        <v>73.5</v>
      </c>
      <c r="B140" s="22">
        <f t="shared" si="6"/>
        <v>6.9954746588500054</v>
      </c>
      <c r="C140" s="20">
        <f t="shared" si="7"/>
        <v>0.13371266091580511</v>
      </c>
      <c r="D140" s="20">
        <f t="shared" si="8"/>
        <v>0.3497737329425003</v>
      </c>
    </row>
    <row r="141" spans="1:4" x14ac:dyDescent="0.25">
      <c r="A141" s="22">
        <v>74</v>
      </c>
      <c r="B141" s="22">
        <f t="shared" si="6"/>
        <v>6.8429160761152232</v>
      </c>
      <c r="C141" s="20">
        <f t="shared" si="7"/>
        <v>0.13076828026902382</v>
      </c>
      <c r="D141" s="20">
        <f t="shared" si="8"/>
        <v>0.34214580380576115</v>
      </c>
    </row>
    <row r="142" spans="1:4" x14ac:dyDescent="0.25">
      <c r="A142" s="22">
        <v>74.5</v>
      </c>
      <c r="B142" s="22">
        <f t="shared" si="6"/>
        <v>6.6913848316946716</v>
      </c>
      <c r="C142" s="20">
        <f t="shared" si="7"/>
        <v>0.12784372725170717</v>
      </c>
      <c r="D142" s="20">
        <f t="shared" si="8"/>
        <v>0.33456924158473356</v>
      </c>
    </row>
    <row r="143" spans="1:4" x14ac:dyDescent="0.25">
      <c r="A143" s="22">
        <v>75</v>
      </c>
      <c r="B143" s="22">
        <f t="shared" si="6"/>
        <v>6.5408671817771991</v>
      </c>
      <c r="C143" s="20">
        <f t="shared" si="7"/>
        <v>0.12493873660829995</v>
      </c>
      <c r="D143" s="20">
        <f t="shared" si="8"/>
        <v>0.32704335908885995</v>
      </c>
    </row>
    <row r="144" spans="1:4" x14ac:dyDescent="0.25">
      <c r="A144" s="22">
        <v>75.5</v>
      </c>
      <c r="B144" s="22">
        <f t="shared" si="6"/>
        <v>6.3913496565187433</v>
      </c>
      <c r="C144" s="20">
        <f t="shared" si="7"/>
        <v>0.12205304837081175</v>
      </c>
      <c r="D144" s="20">
        <f t="shared" si="8"/>
        <v>0.31956748282593717</v>
      </c>
    </row>
    <row r="145" spans="1:4" x14ac:dyDescent="0.25">
      <c r="A145" s="22">
        <v>76</v>
      </c>
      <c r="B145" s="22">
        <f t="shared" si="6"/>
        <v>6.2428190528087377</v>
      </c>
      <c r="C145" s="20">
        <f t="shared" si="7"/>
        <v>0.11918640771920865</v>
      </c>
      <c r="D145" s="20">
        <f t="shared" si="8"/>
        <v>0.3121409526404369</v>
      </c>
    </row>
    <row r="146" spans="1:4" x14ac:dyDescent="0.25">
      <c r="A146" s="22">
        <v>76.5</v>
      </c>
      <c r="B146" s="22">
        <f t="shared" si="6"/>
        <v>6.0952624272736982</v>
      </c>
      <c r="C146" s="20">
        <f t="shared" si="7"/>
        <v>0.11633856484638239</v>
      </c>
      <c r="D146" s="20">
        <f t="shared" si="8"/>
        <v>0.30476312136368494</v>
      </c>
    </row>
    <row r="147" spans="1:4" x14ac:dyDescent="0.25">
      <c r="A147" s="22">
        <v>77</v>
      </c>
      <c r="B147" s="22">
        <f t="shared" si="6"/>
        <v>5.9486670895087101</v>
      </c>
      <c r="C147" s="20">
        <f t="shared" si="7"/>
        <v>0.11350927482751812</v>
      </c>
      <c r="D147" s="20">
        <f t="shared" si="8"/>
        <v>0.29743335447543551</v>
      </c>
    </row>
    <row r="148" spans="1:4" x14ac:dyDescent="0.25">
      <c r="A148" s="22">
        <v>77.5</v>
      </c>
      <c r="B148" s="22">
        <f t="shared" si="6"/>
        <v>5.803020595527963</v>
      </c>
      <c r="C148" s="20">
        <f t="shared" si="7"/>
        <v>0.1106982974936897</v>
      </c>
      <c r="D148" s="20">
        <f t="shared" si="8"/>
        <v>0.29015102977639817</v>
      </c>
    </row>
    <row r="149" spans="1:4" x14ac:dyDescent="0.25">
      <c r="A149" s="22">
        <v>78</v>
      </c>
      <c r="B149" s="22">
        <f t="shared" si="6"/>
        <v>5.6583107414258844</v>
      </c>
      <c r="C149" s="20">
        <f t="shared" si="7"/>
        <v>0.10790539730951958</v>
      </c>
      <c r="D149" s="20">
        <f t="shared" si="8"/>
        <v>0.28291553707129424</v>
      </c>
    </row>
    <row r="150" spans="1:4" x14ac:dyDescent="0.25">
      <c r="A150" s="22">
        <v>78.5</v>
      </c>
      <c r="B150" s="22">
        <f t="shared" si="6"/>
        <v>5.5145255572408001</v>
      </c>
      <c r="C150" s="20">
        <f t="shared" si="7"/>
        <v>0.10513034325474745</v>
      </c>
      <c r="D150" s="20">
        <f t="shared" si="8"/>
        <v>0.27572627786204001</v>
      </c>
    </row>
    <row r="151" spans="1:4" x14ac:dyDescent="0.25">
      <c r="A151" s="22">
        <v>79</v>
      </c>
      <c r="B151" s="22">
        <f t="shared" si="6"/>
        <v>5.3716533010133958</v>
      </c>
      <c r="C151" s="20">
        <f t="shared" si="7"/>
        <v>0.10237290870955855</v>
      </c>
      <c r="D151" s="20">
        <f t="shared" si="8"/>
        <v>0.26858266505066974</v>
      </c>
    </row>
    <row r="152" spans="1:4" x14ac:dyDescent="0.25">
      <c r="A152" s="22">
        <v>79.5</v>
      </c>
      <c r="B152" s="22">
        <f t="shared" si="6"/>
        <v>5.229682453032626</v>
      </c>
      <c r="C152" s="20">
        <f t="shared" si="7"/>
        <v>9.9632871343529689E-2</v>
      </c>
      <c r="D152" s="20">
        <f t="shared" si="8"/>
        <v>0.26148412265163129</v>
      </c>
    </row>
    <row r="153" spans="1:4" x14ac:dyDescent="0.25">
      <c r="A153" s="22">
        <v>80</v>
      </c>
      <c r="B153" s="22">
        <f t="shared" si="6"/>
        <v>5.0886017102619885</v>
      </c>
      <c r="C153" s="20">
        <f t="shared" si="7"/>
        <v>9.6910013008056392E-2</v>
      </c>
      <c r="D153" s="20">
        <f t="shared" si="8"/>
        <v>0.25443008551309942</v>
      </c>
    </row>
    <row r="154" spans="1:4" x14ac:dyDescent="0.25">
      <c r="A154" s="22">
        <v>80.5</v>
      </c>
      <c r="B154" s="22">
        <f t="shared" si="6"/>
        <v>4.9483999809394534</v>
      </c>
      <c r="C154" s="20">
        <f t="shared" si="7"/>
        <v>9.4204119632131461E-2</v>
      </c>
      <c r="D154" s="20">
        <f t="shared" si="8"/>
        <v>0.24741999904697268</v>
      </c>
    </row>
    <row r="155" spans="1:4" x14ac:dyDescent="0.25">
      <c r="A155" s="22">
        <v>81</v>
      </c>
      <c r="B155" s="22">
        <f t="shared" si="6"/>
        <v>4.8090663793445705</v>
      </c>
      <c r="C155" s="20">
        <f t="shared" si="7"/>
        <v>9.1514981121350217E-2</v>
      </c>
      <c r="D155" s="20">
        <f t="shared" si="8"/>
        <v>0.24045331896722852</v>
      </c>
    </row>
    <row r="156" spans="1:4" x14ac:dyDescent="0.25">
      <c r="A156" s="22">
        <v>81.5</v>
      </c>
      <c r="B156" s="22">
        <f t="shared" si="6"/>
        <v>4.6705902207266012</v>
      </c>
      <c r="C156" s="20">
        <f t="shared" si="7"/>
        <v>8.8842391260023412E-2</v>
      </c>
      <c r="D156" s="20">
        <f t="shared" si="8"/>
        <v>0.23352951103633005</v>
      </c>
    </row>
    <row r="157" spans="1:4" x14ac:dyDescent="0.25">
      <c r="A157" s="22">
        <v>82</v>
      </c>
      <c r="B157" s="22">
        <f t="shared" si="6"/>
        <v>4.5329610163877367</v>
      </c>
      <c r="C157" s="20">
        <f t="shared" si="7"/>
        <v>8.6186147616283335E-2</v>
      </c>
      <c r="D157" s="20">
        <f t="shared" si="8"/>
        <v>0.22664805081938685</v>
      </c>
    </row>
    <row r="158" spans="1:4" x14ac:dyDescent="0.25">
      <c r="A158" s="22">
        <v>82.5</v>
      </c>
      <c r="B158" s="22">
        <f t="shared" si="6"/>
        <v>4.3961684689157989</v>
      </c>
      <c r="C158" s="20">
        <f t="shared" si="7"/>
        <v>8.3546051450074932E-2</v>
      </c>
      <c r="D158" s="20">
        <f t="shared" si="8"/>
        <v>0.21980842344578996</v>
      </c>
    </row>
    <row r="159" spans="1:4" x14ac:dyDescent="0.25">
      <c r="A159" s="22">
        <v>83</v>
      </c>
      <c r="B159" s="22">
        <f t="shared" si="6"/>
        <v>4.260202467560938</v>
      </c>
      <c r="C159" s="20">
        <f t="shared" si="7"/>
        <v>8.092190762392612E-2</v>
      </c>
      <c r="D159" s="20">
        <f t="shared" si="8"/>
        <v>0.21301012337804692</v>
      </c>
    </row>
    <row r="160" spans="1:4" x14ac:dyDescent="0.25">
      <c r="A160" s="22">
        <v>83.5</v>
      </c>
      <c r="B160" s="22">
        <f t="shared" si="6"/>
        <v>4.1250530837511876</v>
      </c>
      <c r="C160" s="20">
        <f t="shared" si="7"/>
        <v>7.8313524516397934E-2</v>
      </c>
      <c r="D160" s="20">
        <f t="shared" si="8"/>
        <v>0.20625265418755939</v>
      </c>
    </row>
    <row r="161" spans="1:4" x14ac:dyDescent="0.25">
      <c r="A161" s="22">
        <v>84</v>
      </c>
      <c r="B161" s="22">
        <f t="shared" si="6"/>
        <v>3.9907105667418832</v>
      </c>
      <c r="C161" s="20">
        <f t="shared" si="7"/>
        <v>7.5720713938118356E-2</v>
      </c>
      <c r="D161" s="20">
        <f t="shared" si="8"/>
        <v>0.19953552833709415</v>
      </c>
    </row>
    <row r="162" spans="1:4" x14ac:dyDescent="0.25">
      <c r="A162" s="22">
        <v>84.5</v>
      </c>
      <c r="B162" s="22">
        <f t="shared" si="6"/>
        <v>3.8571653393941796</v>
      </c>
      <c r="C162" s="20">
        <f t="shared" si="7"/>
        <v>7.3143291050307674E-2</v>
      </c>
      <c r="D162" s="20">
        <f t="shared" si="8"/>
        <v>0.19285826696970898</v>
      </c>
    </row>
    <row r="163" spans="1:4" x14ac:dyDescent="0.25">
      <c r="A163" s="22">
        <v>85</v>
      </c>
      <c r="B163" s="22">
        <f t="shared" si="6"/>
        <v>3.7244079940780974</v>
      </c>
      <c r="C163" s="20">
        <f t="shared" si="7"/>
        <v>7.0581074285707285E-2</v>
      </c>
      <c r="D163" s="20">
        <f t="shared" si="8"/>
        <v>0.18622039970390489</v>
      </c>
    </row>
    <row r="164" spans="1:4" x14ac:dyDescent="0.25">
      <c r="A164" s="22">
        <v>85.5</v>
      </c>
      <c r="B164" s="22">
        <f t="shared" si="6"/>
        <v>3.5924292886957181</v>
      </c>
      <c r="C164" s="20">
        <f t="shared" si="7"/>
        <v>6.8033885271827368E-2</v>
      </c>
      <c r="D164" s="20">
        <f t="shared" si="8"/>
        <v>0.17962146443478591</v>
      </c>
    </row>
    <row r="165" spans="1:4" x14ac:dyDescent="0.25">
      <c r="A165" s="22">
        <v>86</v>
      </c>
      <c r="B165" s="22">
        <f t="shared" si="6"/>
        <v>3.4612201428203253</v>
      </c>
      <c r="C165" s="20">
        <f t="shared" si="7"/>
        <v>6.5501548756432285E-2</v>
      </c>
      <c r="D165" s="20">
        <f t="shared" si="8"/>
        <v>0.17306100714101627</v>
      </c>
    </row>
    <row r="166" spans="1:4" x14ac:dyDescent="0.25">
      <c r="A166" s="22">
        <v>86.5</v>
      </c>
      <c r="B166" s="22">
        <f t="shared" si="6"/>
        <v>3.3307716339474496</v>
      </c>
      <c r="C166" s="20">
        <f t="shared" si="7"/>
        <v>6.2983892535185784E-2</v>
      </c>
      <c r="D166" s="20">
        <f t="shared" si="8"/>
        <v>0.16653858169737248</v>
      </c>
    </row>
    <row r="167" spans="1:4" x14ac:dyDescent="0.25">
      <c r="A167" s="22">
        <v>87</v>
      </c>
      <c r="B167" s="22">
        <f t="shared" si="6"/>
        <v>3.2010749938539624</v>
      </c>
      <c r="C167" s="20">
        <f t="shared" si="7"/>
        <v>6.0480747381381476E-2</v>
      </c>
      <c r="D167" s="20">
        <f t="shared" si="8"/>
        <v>0.16005374969269812</v>
      </c>
    </row>
    <row r="168" spans="1:4" x14ac:dyDescent="0.25">
      <c r="A168" s="22">
        <v>87.5</v>
      </c>
      <c r="B168" s="22">
        <f t="shared" si="6"/>
        <v>3.0721216050614899</v>
      </c>
      <c r="C168" s="20">
        <f t="shared" si="7"/>
        <v>5.7991946977686754E-2</v>
      </c>
      <c r="D168" s="20">
        <f t="shared" si="8"/>
        <v>0.15360608025307448</v>
      </c>
    </row>
    <row r="169" spans="1:4" x14ac:dyDescent="0.25">
      <c r="A169" s="22">
        <v>88</v>
      </c>
      <c r="B169" s="22">
        <f t="shared" si="6"/>
        <v>2.9439029974005892</v>
      </c>
      <c r="C169" s="20">
        <f t="shared" si="7"/>
        <v>5.551732784983137E-2</v>
      </c>
      <c r="D169" s="20">
        <f t="shared" si="8"/>
        <v>0.14719514987002946</v>
      </c>
    </row>
    <row r="170" spans="1:4" x14ac:dyDescent="0.25">
      <c r="A170" s="22">
        <v>88.5</v>
      </c>
      <c r="B170" s="22">
        <f t="shared" si="6"/>
        <v>2.8164108446722569</v>
      </c>
      <c r="C170" s="20">
        <f t="shared" si="7"/>
        <v>5.305672930217456E-2</v>
      </c>
      <c r="D170" s="20">
        <f t="shared" si="8"/>
        <v>0.14082054223361284</v>
      </c>
    </row>
    <row r="171" spans="1:4" x14ac:dyDescent="0.25">
      <c r="A171" s="22">
        <v>89</v>
      </c>
      <c r="B171" s="22">
        <f t="shared" si="6"/>
        <v>2.6896369614034823</v>
      </c>
      <c r="C171" s="20">
        <f t="shared" si="7"/>
        <v>5.0609993355087209E-2</v>
      </c>
      <c r="D171" s="20">
        <f t="shared" si="8"/>
        <v>0.13448184807017413</v>
      </c>
    </row>
    <row r="172" spans="1:4" x14ac:dyDescent="0.25">
      <c r="A172" s="22">
        <v>89.5</v>
      </c>
      <c r="B172" s="22">
        <f t="shared" si="6"/>
        <v>2.5635732996936795</v>
      </c>
      <c r="C172" s="20">
        <f t="shared" si="7"/>
        <v>4.8176964684088018E-2</v>
      </c>
      <c r="D172" s="20">
        <f t="shared" si="8"/>
        <v>0.12817866498468397</v>
      </c>
    </row>
    <row r="173" spans="1:4" x14ac:dyDescent="0.25">
      <c r="A173" s="22">
        <v>90</v>
      </c>
      <c r="B173" s="22">
        <f t="shared" si="6"/>
        <v>2.4382119461489697</v>
      </c>
      <c r="C173" s="20">
        <f t="shared" si="7"/>
        <v>4.5757490560675115E-2</v>
      </c>
      <c r="D173" s="20">
        <f t="shared" si="8"/>
        <v>0.12191059730744848</v>
      </c>
    </row>
    <row r="174" spans="1:4" x14ac:dyDescent="0.25">
      <c r="A174" s="22">
        <v>90.5</v>
      </c>
      <c r="B174" s="22">
        <f t="shared" si="6"/>
        <v>2.313545118901382</v>
      </c>
      <c r="C174" s="20">
        <f t="shared" si="7"/>
        <v>4.3351420794796675E-2</v>
      </c>
      <c r="D174" s="20">
        <f t="shared" si="8"/>
        <v>0.1156772559450691</v>
      </c>
    </row>
    <row r="175" spans="1:4" x14ac:dyDescent="0.25">
      <c r="A175" s="22">
        <v>91</v>
      </c>
      <c r="B175" s="22">
        <f t="shared" si="6"/>
        <v>2.1895651647101753</v>
      </c>
      <c r="C175" s="20">
        <f t="shared" si="7"/>
        <v>4.0958607678906384E-2</v>
      </c>
      <c r="D175" s="20">
        <f t="shared" si="8"/>
        <v>0.10947825823550877</v>
      </c>
    </row>
    <row r="176" spans="1:4" x14ac:dyDescent="0.25">
      <c r="A176" s="22">
        <v>91.5</v>
      </c>
      <c r="B176" s="22">
        <f t="shared" si="6"/>
        <v>2.0662645561425754</v>
      </c>
      <c r="C176" s="20">
        <f t="shared" si="7"/>
        <v>3.8578905933551705E-2</v>
      </c>
      <c r="D176" s="20">
        <f t="shared" si="8"/>
        <v>0.10331322780712876</v>
      </c>
    </row>
    <row r="177" spans="1:4" x14ac:dyDescent="0.25">
      <c r="A177" s="22">
        <v>92</v>
      </c>
      <c r="B177" s="22">
        <f t="shared" si="6"/>
        <v>1.9436358888313323</v>
      </c>
      <c r="C177" s="20">
        <f t="shared" si="7"/>
        <v>3.6212172654444715E-2</v>
      </c>
      <c r="D177" s="20">
        <f t="shared" si="8"/>
        <v>9.7181794441566619E-2</v>
      </c>
    </row>
    <row r="178" spans="1:4" x14ac:dyDescent="0.25">
      <c r="A178" s="22">
        <v>92.5</v>
      </c>
      <c r="B178" s="22">
        <f t="shared" si="6"/>
        <v>1.8216718788065995</v>
      </c>
      <c r="C178" s="20">
        <f t="shared" si="7"/>
        <v>3.385826726096737E-2</v>
      </c>
      <c r="D178" s="20">
        <f t="shared" si="8"/>
        <v>9.1083593940329985E-2</v>
      </c>
    </row>
    <row r="179" spans="1:4" x14ac:dyDescent="0.25">
      <c r="A179" s="22">
        <v>93</v>
      </c>
      <c r="B179" s="22">
        <f t="shared" si="6"/>
        <v>1.7003653598997339</v>
      </c>
      <c r="C179" s="20">
        <f t="shared" si="7"/>
        <v>3.1517051446064863E-2</v>
      </c>
      <c r="D179" s="20">
        <f t="shared" si="8"/>
        <v>8.5018267994986699E-2</v>
      </c>
    </row>
    <row r="180" spans="1:4" x14ac:dyDescent="0.25">
      <c r="A180" s="22">
        <v>93.5</v>
      </c>
      <c r="B180" s="22">
        <f t="shared" si="6"/>
        <v>1.5797092812166942</v>
      </c>
      <c r="C180" s="20">
        <f t="shared" si="7"/>
        <v>2.91883891274822E-2</v>
      </c>
      <c r="D180" s="20">
        <f t="shared" si="8"/>
        <v>7.8985464060834704E-2</v>
      </c>
    </row>
    <row r="181" spans="1:4" x14ac:dyDescent="0.25">
      <c r="A181" s="22">
        <v>94</v>
      </c>
      <c r="B181" s="22">
        <f t="shared" si="6"/>
        <v>1.459696704678827</v>
      </c>
      <c r="C181" s="20">
        <f t="shared" si="7"/>
        <v>2.6872146400301365E-2</v>
      </c>
      <c r="D181" s="20">
        <f t="shared" si="8"/>
        <v>7.298483523394135E-2</v>
      </c>
    </row>
    <row r="182" spans="1:4" x14ac:dyDescent="0.25">
      <c r="A182" s="22">
        <v>94.5</v>
      </c>
      <c r="B182" s="22">
        <f t="shared" si="6"/>
        <v>1.340320802628864</v>
      </c>
      <c r="C182" s="20">
        <f t="shared" si="7"/>
        <v>2.4568191490737076E-2</v>
      </c>
      <c r="D182" s="20">
        <f t="shared" si="8"/>
        <v>6.7016040131443202E-2</v>
      </c>
    </row>
    <row r="183" spans="1:4" x14ac:dyDescent="0.25">
      <c r="A183" s="22">
        <v>95</v>
      </c>
      <c r="B183" s="22">
        <f t="shared" si="6"/>
        <v>1.2215748555001167</v>
      </c>
      <c r="C183" s="20">
        <f t="shared" si="7"/>
        <v>2.2276394711152253E-2</v>
      </c>
      <c r="D183" s="20">
        <f t="shared" si="8"/>
        <v>6.1078742775005836E-2</v>
      </c>
    </row>
    <row r="184" spans="1:4" x14ac:dyDescent="0.25">
      <c r="A184" s="22">
        <v>95.5</v>
      </c>
      <c r="B184" s="22">
        <f t="shared" si="6"/>
        <v>1.1034522495468224</v>
      </c>
      <c r="C184" s="20">
        <f t="shared" si="7"/>
        <v>1.9996628416253676E-2</v>
      </c>
      <c r="D184" s="20">
        <f t="shared" si="8"/>
        <v>5.5172612477341121E-2</v>
      </c>
    </row>
    <row r="185" spans="1:4" x14ac:dyDescent="0.25">
      <c r="A185" s="22">
        <v>96</v>
      </c>
      <c r="B185" s="22">
        <f t="shared" si="6"/>
        <v>0.98594647463376162</v>
      </c>
      <c r="C185" s="20">
        <f t="shared" si="7"/>
        <v>1.7728766960431602E-2</v>
      </c>
      <c r="D185" s="20">
        <f t="shared" si="8"/>
        <v>4.9297323731688075E-2</v>
      </c>
    </row>
    <row r="186" spans="1:4" x14ac:dyDescent="0.25">
      <c r="A186" s="22">
        <v>96.5</v>
      </c>
      <c r="B186" s="22">
        <f t="shared" si="6"/>
        <v>0.86905112208328739</v>
      </c>
      <c r="C186" s="20">
        <f t="shared" si="7"/>
        <v>1.5472686656207449E-2</v>
      </c>
      <c r="D186" s="20">
        <f t="shared" si="8"/>
        <v>4.3452556104164368E-2</v>
      </c>
    </row>
    <row r="187" spans="1:4" x14ac:dyDescent="0.25">
      <c r="A187" s="22">
        <v>97</v>
      </c>
      <c r="B187" s="22">
        <f t="shared" si="6"/>
        <v>0.75275988257798754</v>
      </c>
      <c r="C187" s="20">
        <f t="shared" si="7"/>
        <v>1.322826573375516E-2</v>
      </c>
      <c r="D187" s="20">
        <f t="shared" si="8"/>
        <v>3.7637994128899378E-2</v>
      </c>
    </row>
    <row r="188" spans="1:4" x14ac:dyDescent="0.25">
      <c r="A188" s="22">
        <v>97.5</v>
      </c>
      <c r="B188" s="22">
        <f t="shared" si="6"/>
        <v>0.63706654411726393</v>
      </c>
      <c r="C188" s="20">
        <f t="shared" si="7"/>
        <v>1.0995384301463193E-2</v>
      </c>
      <c r="D188" s="20">
        <f t="shared" si="8"/>
        <v>3.1853327205863195E-2</v>
      </c>
    </row>
    <row r="189" spans="1:4" x14ac:dyDescent="0.25">
      <c r="A189" s="22">
        <v>98</v>
      </c>
      <c r="B189" s="22">
        <f t="shared" si="6"/>
        <v>0.52196499002617358</v>
      </c>
      <c r="C189" s="20">
        <f t="shared" si="7"/>
        <v>8.7739243075051505E-3</v>
      </c>
      <c r="D189" s="20">
        <f t="shared" si="8"/>
        <v>2.6098249501308679E-2</v>
      </c>
    </row>
    <row r="190" spans="1:4" x14ac:dyDescent="0.25">
      <c r="A190" s="22">
        <v>98.5</v>
      </c>
      <c r="B190" s="22">
        <f t="shared" si="6"/>
        <v>0.40744919701493637</v>
      </c>
      <c r="C190" s="20">
        <f t="shared" si="7"/>
        <v>6.5637695023882739E-3</v>
      </c>
      <c r="D190" s="20">
        <f t="shared" si="8"/>
        <v>2.0372459850746819E-2</v>
      </c>
    </row>
    <row r="191" spans="1:4" x14ac:dyDescent="0.25">
      <c r="A191" s="22">
        <v>99</v>
      </c>
      <c r="B191" s="22">
        <f t="shared" si="6"/>
        <v>0.29351323328756934</v>
      </c>
      <c r="C191" s="20">
        <f t="shared" si="7"/>
        <v>4.3648054024500883E-3</v>
      </c>
      <c r="D191" s="20">
        <f t="shared" si="8"/>
        <v>1.4675661664378467E-2</v>
      </c>
    </row>
    <row r="192" spans="1:4" x14ac:dyDescent="0.25">
      <c r="A192" s="22">
        <v>99.5</v>
      </c>
      <c r="B192" s="22">
        <f t="shared" si="6"/>
        <v>0.18015125669816304</v>
      </c>
      <c r="C192" s="20">
        <f t="shared" si="7"/>
        <v>2.176919254274547E-3</v>
      </c>
      <c r="D192" s="20">
        <f t="shared" si="8"/>
        <v>9.0075628349081515E-3</v>
      </c>
    </row>
    <row r="193" spans="1:4" x14ac:dyDescent="0.25">
      <c r="A193" s="22">
        <v>100</v>
      </c>
      <c r="B193" s="22">
        <f t="shared" si="6"/>
        <v>6.7357512953367865E-2</v>
      </c>
      <c r="C193" s="20">
        <f t="shared" si="7"/>
        <v>0</v>
      </c>
      <c r="D193" s="20">
        <f t="shared" si="8"/>
        <v>3.3678756476683931E-3</v>
      </c>
    </row>
  </sheetData>
  <autoFilter ref="A1:D1">
    <sortState ref="A2:D193">
      <sortCondition ref="A1"/>
    </sortState>
  </autoFilter>
  <mergeCells count="1">
    <mergeCell ref="G20:H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4"/>
  <sheetViews>
    <sheetView tabSelected="1" view="pageLayout" topLeftCell="A49" zoomScaleNormal="85" workbookViewId="0">
      <selection activeCell="L70" sqref="L70:O70"/>
    </sheetView>
  </sheetViews>
  <sheetFormatPr baseColWidth="10" defaultColWidth="11.42578125" defaultRowHeight="14.25" x14ac:dyDescent="0.2"/>
  <cols>
    <col min="1" max="10" width="3" style="2" customWidth="1"/>
    <col min="11" max="11" width="1" style="2" customWidth="1"/>
    <col min="12" max="15" width="3" style="2" customWidth="1"/>
    <col min="16" max="16" width="1" style="2" customWidth="1"/>
    <col min="17" max="20" width="3" style="2" customWidth="1"/>
    <col min="21" max="21" width="1" style="2" customWidth="1"/>
    <col min="22" max="25" width="3" style="2" customWidth="1"/>
    <col min="26" max="26" width="1" style="2" customWidth="1"/>
    <col min="27" max="30" width="3" style="2" customWidth="1"/>
    <col min="31" max="31" width="1" style="2" customWidth="1"/>
    <col min="32" max="36" width="3" style="2" customWidth="1"/>
    <col min="37" max="16384" width="11.42578125" style="2"/>
  </cols>
  <sheetData>
    <row r="1" spans="1:38" ht="11.25" customHeight="1" x14ac:dyDescent="0.2">
      <c r="A1" s="192"/>
      <c r="B1" s="193"/>
      <c r="C1" s="193"/>
      <c r="D1" s="193"/>
      <c r="E1" s="193"/>
      <c r="F1" s="193"/>
      <c r="G1" s="193"/>
      <c r="H1" s="193"/>
      <c r="I1" s="198" t="s">
        <v>109</v>
      </c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239" t="s">
        <v>110</v>
      </c>
      <c r="AE1" s="239"/>
      <c r="AF1" s="239"/>
      <c r="AG1" s="240" t="s">
        <v>111</v>
      </c>
      <c r="AH1" s="240"/>
      <c r="AI1" s="99">
        <f>ROUNDUP(Datos_Cliente!$C$8/4,0)</f>
        <v>2</v>
      </c>
      <c r="AJ1" s="100"/>
    </row>
    <row r="2" spans="1:38" s="3" customFormat="1" ht="11.25" customHeight="1" x14ac:dyDescent="0.2">
      <c r="A2" s="194"/>
      <c r="B2" s="195"/>
      <c r="C2" s="195"/>
      <c r="D2" s="195"/>
      <c r="E2" s="195"/>
      <c r="F2" s="195"/>
      <c r="G2" s="195"/>
      <c r="H2" s="195"/>
      <c r="I2" s="220" t="s">
        <v>112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41" t="s">
        <v>114</v>
      </c>
      <c r="AE2" s="241"/>
      <c r="AF2" s="241"/>
      <c r="AG2" s="242">
        <f>IF(Datos_Cliente!$G$14&lt;&gt;"", Datos_Cliente!$G$14,"NA")</f>
        <v>45924</v>
      </c>
      <c r="AH2" s="242"/>
      <c r="AI2" s="242"/>
      <c r="AJ2" s="243"/>
    </row>
    <row r="3" spans="1:38" ht="11.25" customHeight="1" x14ac:dyDescent="0.2">
      <c r="A3" s="194"/>
      <c r="B3" s="195"/>
      <c r="C3" s="195"/>
      <c r="D3" s="195"/>
      <c r="E3" s="195"/>
      <c r="F3" s="195"/>
      <c r="G3" s="195"/>
      <c r="H3" s="195"/>
      <c r="I3" s="220" t="s">
        <v>113</v>
      </c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67" t="s">
        <v>287</v>
      </c>
      <c r="AE3" s="267"/>
      <c r="AF3" s="267"/>
      <c r="AG3" s="268" t="s">
        <v>288</v>
      </c>
      <c r="AH3" s="268"/>
      <c r="AI3" s="268"/>
      <c r="AJ3" s="269"/>
    </row>
    <row r="4" spans="1:38" ht="11.25" customHeight="1" x14ac:dyDescent="0.2">
      <c r="A4" s="194"/>
      <c r="B4" s="195"/>
      <c r="C4" s="195"/>
      <c r="D4" s="195"/>
      <c r="E4" s="195"/>
      <c r="F4" s="195"/>
      <c r="G4" s="195"/>
      <c r="H4" s="195"/>
      <c r="I4" s="221" t="s">
        <v>115</v>
      </c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159" t="s">
        <v>117</v>
      </c>
      <c r="AE4" s="159"/>
      <c r="AF4" s="159"/>
      <c r="AG4" s="159"/>
      <c r="AH4" s="161" t="str">
        <f>IF(Datos_Cliente!$G$4&lt;&gt;"", Datos_Cliente!$G$4,"NA")</f>
        <v>0034</v>
      </c>
      <c r="AI4" s="161"/>
      <c r="AJ4" s="162"/>
    </row>
    <row r="5" spans="1:38" ht="11.25" customHeight="1" x14ac:dyDescent="0.2">
      <c r="A5" s="194"/>
      <c r="B5" s="195"/>
      <c r="C5" s="195"/>
      <c r="D5" s="195"/>
      <c r="E5" s="195"/>
      <c r="F5" s="195"/>
      <c r="G5" s="195"/>
      <c r="H5" s="195"/>
      <c r="I5" s="221" t="s">
        <v>116</v>
      </c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159" t="s">
        <v>282</v>
      </c>
      <c r="AE5" s="159"/>
      <c r="AF5" s="159"/>
      <c r="AG5" s="159"/>
      <c r="AH5" s="161" t="str">
        <f>IF(Datos_Cliente!$C$4&lt;&gt;"", Datos_Cliente!$C$4,"NA")</f>
        <v>2025-0482</v>
      </c>
      <c r="AI5" s="161"/>
      <c r="AJ5" s="162"/>
    </row>
    <row r="6" spans="1:38" ht="11.25" customHeight="1" thickBot="1" x14ac:dyDescent="0.25">
      <c r="A6" s="196"/>
      <c r="B6" s="197"/>
      <c r="C6" s="197"/>
      <c r="D6" s="197"/>
      <c r="E6" s="197"/>
      <c r="F6" s="197"/>
      <c r="G6" s="197"/>
      <c r="H6" s="197"/>
      <c r="I6" s="224" t="s">
        <v>118</v>
      </c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160"/>
      <c r="AE6" s="160"/>
      <c r="AF6" s="160"/>
      <c r="AG6" s="160"/>
      <c r="AH6" s="163"/>
      <c r="AI6" s="163"/>
      <c r="AJ6" s="164"/>
    </row>
    <row r="7" spans="1:38" ht="11.25" customHeight="1" x14ac:dyDescent="0.3">
      <c r="A7" s="4"/>
      <c r="B7" s="4"/>
      <c r="C7" s="4"/>
      <c r="D7" s="4"/>
      <c r="E7" s="4"/>
      <c r="F7" s="4"/>
      <c r="G7" s="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5"/>
      <c r="T7" s="5"/>
      <c r="U7" s="6"/>
      <c r="V7" s="6"/>
      <c r="W7" s="6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spans="1:38" ht="11.25" customHeight="1" x14ac:dyDescent="0.2">
      <c r="A8" s="217" t="s">
        <v>119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</row>
    <row r="9" spans="1:38" ht="11.25" customHeight="1" thickBot="1" x14ac:dyDescent="0.2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8" ht="14.1" customHeight="1" x14ac:dyDescent="0.2">
      <c r="A10" s="158" t="s">
        <v>120</v>
      </c>
      <c r="B10" s="152"/>
      <c r="C10" s="152"/>
      <c r="D10" s="152"/>
      <c r="E10" s="151" t="str">
        <f>IF(Datos_Cliente!$C$6&lt;&gt;"", Datos_Cliente!$C$6,"NA")</f>
        <v xml:space="preserve">EL CAUDILLO </v>
      </c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2" t="s">
        <v>121</v>
      </c>
      <c r="R10" s="152"/>
      <c r="S10" s="152"/>
      <c r="T10" s="151" t="str">
        <f>IF(Datos_Cliente!$G$6&lt;&gt;"", Datos_Cliente!$G$6,"NA")</f>
        <v>BLOCK 905</v>
      </c>
      <c r="U10" s="151"/>
      <c r="V10" s="151"/>
      <c r="W10" s="151"/>
      <c r="X10" s="151"/>
      <c r="Y10" s="151"/>
      <c r="Z10" s="151"/>
      <c r="AA10" s="152" t="s">
        <v>122</v>
      </c>
      <c r="AB10" s="152"/>
      <c r="AC10" s="152"/>
      <c r="AD10" s="152"/>
      <c r="AE10" s="152"/>
      <c r="AF10" s="152"/>
      <c r="AG10" s="151" t="str">
        <f>IF(Datos_Cliente!$G$7&lt;&gt;"", Datos_Cliente!$G$7,"NA")</f>
        <v xml:space="preserve">NOGAL </v>
      </c>
      <c r="AH10" s="151"/>
      <c r="AI10" s="151"/>
      <c r="AJ10" s="153"/>
    </row>
    <row r="11" spans="1:38" ht="14.1" customHeight="1" x14ac:dyDescent="0.2">
      <c r="A11" s="154" t="s">
        <v>123</v>
      </c>
      <c r="B11" s="155"/>
      <c r="C11" s="155"/>
      <c r="D11" s="155"/>
      <c r="E11" s="156" t="str">
        <f>IF(Datos_Cliente!$C$7&lt;&gt;"", Datos_Cliente!$C$7,"NA")</f>
        <v xml:space="preserve">EL CAUDILLO </v>
      </c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5" t="s">
        <v>124</v>
      </c>
      <c r="R11" s="155"/>
      <c r="S11" s="155"/>
      <c r="T11" s="156" t="str">
        <f>IF(Datos_Cliente!$G$11&lt;&gt;"", Datos_Cliente!$G$11,"NA")</f>
        <v xml:space="preserve">GOTEO </v>
      </c>
      <c r="U11" s="156"/>
      <c r="V11" s="156"/>
      <c r="W11" s="156"/>
      <c r="X11" s="156"/>
      <c r="Y11" s="156"/>
      <c r="Z11" s="156"/>
      <c r="AA11" s="155" t="s">
        <v>125</v>
      </c>
      <c r="AB11" s="155"/>
      <c r="AC11" s="155"/>
      <c r="AD11" s="155"/>
      <c r="AE11" s="155"/>
      <c r="AF11" s="155"/>
      <c r="AG11" s="156" t="str">
        <f>IF(Datos_Cliente!$G$8&lt;&gt;"", Datos_Cliente!$G$8,"NA")</f>
        <v xml:space="preserve">NOGAL </v>
      </c>
      <c r="AH11" s="156"/>
      <c r="AI11" s="156"/>
      <c r="AJ11" s="157"/>
    </row>
    <row r="12" spans="1:38" ht="14.1" customHeight="1" thickBot="1" x14ac:dyDescent="0.25">
      <c r="A12" s="183" t="s">
        <v>126</v>
      </c>
      <c r="B12" s="184"/>
      <c r="C12" s="184"/>
      <c r="D12" s="184"/>
      <c r="E12" s="186" t="str">
        <f>IF(Datos_Cliente!$G$5&lt;&gt;"", Datos_Cliente!$G$5,"NA")</f>
        <v xml:space="preserve">BACUM, SON. </v>
      </c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4" t="s">
        <v>127</v>
      </c>
      <c r="R12" s="184"/>
      <c r="S12" s="184"/>
      <c r="T12" s="186" t="str">
        <f>IF(Datos_Cliente!$G$9&lt;&gt;"", Datos_Cliente!$G$9,"NA")</f>
        <v xml:space="preserve">COSECHA </v>
      </c>
      <c r="U12" s="186"/>
      <c r="V12" s="186"/>
      <c r="W12" s="186"/>
      <c r="X12" s="186"/>
      <c r="Y12" s="186"/>
      <c r="Z12" s="186"/>
      <c r="AA12" s="184" t="s">
        <v>128</v>
      </c>
      <c r="AB12" s="184"/>
      <c r="AC12" s="184"/>
      <c r="AD12" s="184"/>
      <c r="AE12" s="184"/>
      <c r="AF12" s="184"/>
      <c r="AG12" s="236">
        <f>IF(Datos_Cliente!$C$5&lt;&gt;"", Datos_Cliente!$C$5,"NA")</f>
        <v>45922</v>
      </c>
      <c r="AH12" s="236"/>
      <c r="AI12" s="236"/>
      <c r="AJ12" s="237"/>
    </row>
    <row r="13" spans="1:38" ht="11.25" customHeight="1" thickBot="1" x14ac:dyDescent="0.25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5"/>
      <c r="AG13" s="95"/>
      <c r="AH13" s="95"/>
      <c r="AI13" s="95"/>
      <c r="AJ13" s="94"/>
    </row>
    <row r="14" spans="1:38" ht="15" customHeight="1" x14ac:dyDescent="0.2">
      <c r="A14" s="238" t="s">
        <v>129</v>
      </c>
      <c r="B14" s="238"/>
      <c r="C14" s="238"/>
      <c r="D14" s="238"/>
      <c r="E14" s="238"/>
      <c r="F14" s="238"/>
      <c r="G14" s="238"/>
      <c r="H14" s="238"/>
      <c r="I14" s="238"/>
      <c r="J14" s="238"/>
      <c r="K14" s="101"/>
      <c r="L14" s="261" t="str">
        <f>IF(Datos_Cliente!$C$11&lt;&gt;"",Datos_Cliente!$C$11,"NA")</f>
        <v>2025-0482-1</v>
      </c>
      <c r="M14" s="262"/>
      <c r="N14" s="262"/>
      <c r="O14" s="263"/>
      <c r="P14" s="94"/>
      <c r="Q14" s="261" t="str">
        <f>IF(Datos_Cliente!$C$12&lt;&gt;"",Datos_Cliente!$C$12,"NA")</f>
        <v>2025-0482-2</v>
      </c>
      <c r="R14" s="262"/>
      <c r="S14" s="262"/>
      <c r="T14" s="263"/>
      <c r="U14" s="94"/>
      <c r="V14" s="261" t="str">
        <f>IF(Datos_Cliente!$C$13&lt;&gt;"",Datos_Cliente!$C$13,"NA")</f>
        <v>2025-0482-3</v>
      </c>
      <c r="W14" s="262"/>
      <c r="X14" s="262"/>
      <c r="Y14" s="263"/>
      <c r="Z14" s="94"/>
      <c r="AA14" s="261" t="str">
        <f>IF(Datos_Cliente!$C$14&lt;&gt;"",Datos_Cliente!$C$14,"NA")</f>
        <v>2025-0482-4</v>
      </c>
      <c r="AB14" s="262"/>
      <c r="AC14" s="262"/>
      <c r="AD14" s="263"/>
      <c r="AE14" s="94"/>
      <c r="AF14" s="94"/>
      <c r="AG14" s="94"/>
      <c r="AH14" s="94"/>
      <c r="AI14" s="94"/>
      <c r="AJ14" s="94"/>
      <c r="AL14" s="67"/>
    </row>
    <row r="15" spans="1:38" ht="21" customHeight="1" thickBot="1" x14ac:dyDescent="0.25">
      <c r="A15" s="185" t="s">
        <v>130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01"/>
      <c r="L15" s="270" t="str">
        <f>IF(Datos_Cliente!$B$11&lt;&gt;"",Datos_Cliente!$B$11,"NA")</f>
        <v xml:space="preserve">50 HAS 2012 NORTE </v>
      </c>
      <c r="M15" s="271"/>
      <c r="N15" s="271"/>
      <c r="O15" s="272"/>
      <c r="P15" s="97"/>
      <c r="Q15" s="270" t="str">
        <f>IF(Datos_Cliente!$B$12&lt;&gt;"",Datos_Cliente!$B$12,"NA")</f>
        <v xml:space="preserve">50 HAS 2012 SUR </v>
      </c>
      <c r="R15" s="271"/>
      <c r="S15" s="271"/>
      <c r="T15" s="272"/>
      <c r="U15" s="94"/>
      <c r="V15" s="346" t="str">
        <f>IF(Datos_Cliente!$B$13&lt;&gt;"",Datos_Cliente!$B$13,"NA")</f>
        <v xml:space="preserve">25 HAS 2014 SUR </v>
      </c>
      <c r="W15" s="347"/>
      <c r="X15" s="347"/>
      <c r="Y15" s="348"/>
      <c r="Z15" s="94"/>
      <c r="AA15" s="346" t="str">
        <f>IF(Datos_Cliente!$B$14&lt;&gt;"",Datos_Cliente!$B$14,"NA")</f>
        <v xml:space="preserve">25 HAS 2014 NORTE </v>
      </c>
      <c r="AB15" s="347"/>
      <c r="AC15" s="347"/>
      <c r="AD15" s="348"/>
      <c r="AE15" s="94"/>
      <c r="AF15" s="94"/>
      <c r="AG15" s="94"/>
      <c r="AH15" s="94"/>
      <c r="AI15" s="94"/>
      <c r="AJ15" s="94"/>
      <c r="AL15" s="87"/>
    </row>
    <row r="16" spans="1:38" ht="15" customHeight="1" x14ac:dyDescent="0.2">
      <c r="A16" s="180" t="s">
        <v>131</v>
      </c>
      <c r="B16" s="181"/>
      <c r="C16" s="181"/>
      <c r="D16" s="181"/>
      <c r="E16" s="181"/>
      <c r="F16" s="181"/>
      <c r="G16" s="262" t="s">
        <v>132</v>
      </c>
      <c r="H16" s="262"/>
      <c r="I16" s="262"/>
      <c r="J16" s="263"/>
      <c r="K16" s="95"/>
      <c r="L16" s="264" t="s">
        <v>286</v>
      </c>
      <c r="M16" s="265"/>
      <c r="N16" s="265"/>
      <c r="O16" s="266"/>
      <c r="P16" s="94"/>
      <c r="Q16" s="264" t="s">
        <v>133</v>
      </c>
      <c r="R16" s="265"/>
      <c r="S16" s="265"/>
      <c r="T16" s="266"/>
      <c r="U16" s="94"/>
      <c r="V16" s="264" t="s">
        <v>133</v>
      </c>
      <c r="W16" s="265"/>
      <c r="X16" s="265"/>
      <c r="Y16" s="266"/>
      <c r="Z16" s="94"/>
      <c r="AA16" s="264" t="s">
        <v>133</v>
      </c>
      <c r="AB16" s="265"/>
      <c r="AC16" s="265"/>
      <c r="AD16" s="266"/>
      <c r="AE16" s="94"/>
      <c r="AF16" s="338" t="s">
        <v>134</v>
      </c>
      <c r="AG16" s="339"/>
      <c r="AH16" s="339"/>
      <c r="AI16" s="339"/>
      <c r="AJ16" s="340"/>
    </row>
    <row r="17" spans="1:36" ht="15" customHeight="1" x14ac:dyDescent="0.2">
      <c r="A17" s="145" t="s">
        <v>135</v>
      </c>
      <c r="B17" s="146"/>
      <c r="C17" s="146"/>
      <c r="D17" s="146"/>
      <c r="E17" s="146"/>
      <c r="F17" s="146"/>
      <c r="G17" s="252" t="s">
        <v>136</v>
      </c>
      <c r="H17" s="252"/>
      <c r="I17" s="252"/>
      <c r="J17" s="253"/>
      <c r="K17" s="94"/>
      <c r="L17" s="142">
        <f>IF(Lectura_Fert!L11&lt;&gt;"",(Lectura_Fert!L11*Lectura_Fert!$K$8*0.014*100)/Lectura_Fert!K11, "NA")</f>
        <v>2.59</v>
      </c>
      <c r="M17" s="143"/>
      <c r="N17" s="143"/>
      <c r="O17" s="144"/>
      <c r="P17" s="94"/>
      <c r="Q17" s="142">
        <f>IF(Lectura_Fert!L12&lt;&gt;"",(Lectura_Fert!L12*Lectura_Fert!$K$8*0.014*100)/Lectura_Fert!K12, "NA")</f>
        <v>2.5200000000000005</v>
      </c>
      <c r="R17" s="143"/>
      <c r="S17" s="143"/>
      <c r="T17" s="144"/>
      <c r="U17" s="94"/>
      <c r="V17" s="255">
        <f>IF(Lectura_Fert!L13&lt;&gt;"",(Lectura_Fert!L13*Lectura_Fert!$K$8*0.014*100)/Lectura_Fert!K13, "NA")</f>
        <v>2.38</v>
      </c>
      <c r="W17" s="256"/>
      <c r="X17" s="256"/>
      <c r="Y17" s="257"/>
      <c r="Z17" s="94"/>
      <c r="AA17" s="255">
        <f>IF(Lectura_Fert!L14&lt;&gt;"",(Lectura_Fert!L14*Lectura_Fert!$K$8*0.014*100)/Lectura_Fert!K14, "NA")</f>
        <v>2.66</v>
      </c>
      <c r="AB17" s="256"/>
      <c r="AC17" s="256"/>
      <c r="AD17" s="257"/>
      <c r="AE17" s="94"/>
      <c r="AF17" s="244">
        <f>VLOOKUP(Datos_Cliente!$G$16,CULTIVOS!$A$2:$W$127,2,0)</f>
        <v>2.7</v>
      </c>
      <c r="AG17" s="244"/>
      <c r="AH17" s="110" t="s">
        <v>137</v>
      </c>
      <c r="AI17" s="244">
        <f>VLOOKUP(Datos_Cliente!$G$16,CULTIVOS!$A$2:$W$127,3,0)</f>
        <v>3.5</v>
      </c>
      <c r="AJ17" s="244"/>
    </row>
    <row r="18" spans="1:36" ht="15" customHeight="1" x14ac:dyDescent="0.2">
      <c r="A18" s="145" t="s">
        <v>138</v>
      </c>
      <c r="B18" s="146"/>
      <c r="C18" s="146"/>
      <c r="D18" s="146"/>
      <c r="E18" s="146"/>
      <c r="F18" s="146"/>
      <c r="G18" s="252" t="s">
        <v>136</v>
      </c>
      <c r="H18" s="252"/>
      <c r="I18" s="252"/>
      <c r="J18" s="253"/>
      <c r="K18" s="94"/>
      <c r="L18" s="142">
        <f>IF(Lectura_Fert!R11&lt;&gt;"", Lectura_Fert!R11, "NA")</f>
        <v>3.02</v>
      </c>
      <c r="M18" s="143"/>
      <c r="N18" s="143"/>
      <c r="O18" s="144"/>
      <c r="P18" s="94"/>
      <c r="Q18" s="142">
        <f>IF(Lectura_Fert!R12&lt;&gt;"", Lectura_Fert!R12, "NA")</f>
        <v>2.57</v>
      </c>
      <c r="R18" s="143"/>
      <c r="S18" s="143"/>
      <c r="T18" s="144"/>
      <c r="U18" s="94"/>
      <c r="V18" s="142">
        <f>IF(Lectura_Fert!R13&lt;&gt;"", Lectura_Fert!R13, "NA")</f>
        <v>2.63</v>
      </c>
      <c r="W18" s="143"/>
      <c r="X18" s="143"/>
      <c r="Y18" s="144"/>
      <c r="Z18" s="94"/>
      <c r="AA18" s="255">
        <f>IF(Lectura_Fert!R14&lt;&gt;"", Lectura_Fert!R14, "NA")</f>
        <v>3.08</v>
      </c>
      <c r="AB18" s="256"/>
      <c r="AC18" s="256"/>
      <c r="AD18" s="257"/>
      <c r="AE18" s="94"/>
      <c r="AF18" s="244">
        <f>VLOOKUP(Datos_Cliente!$G$16,CULTIVOS!$A$2:$W$127,4,0)</f>
        <v>1</v>
      </c>
      <c r="AG18" s="244"/>
      <c r="AH18" s="110" t="s">
        <v>137</v>
      </c>
      <c r="AI18" s="244">
        <f>VLOOKUP(Datos_Cliente!$G$16,CULTIVOS!$A$2:$W$127,5,0)</f>
        <v>1.75</v>
      </c>
      <c r="AJ18" s="244"/>
    </row>
    <row r="19" spans="1:36" ht="15" customHeight="1" x14ac:dyDescent="0.2">
      <c r="A19" s="145" t="s">
        <v>139</v>
      </c>
      <c r="B19" s="146"/>
      <c r="C19" s="146"/>
      <c r="D19" s="146"/>
      <c r="E19" s="146"/>
      <c r="F19" s="146"/>
      <c r="G19" s="252" t="s">
        <v>136</v>
      </c>
      <c r="H19" s="252"/>
      <c r="I19" s="252"/>
      <c r="J19" s="253"/>
      <c r="K19" s="94"/>
      <c r="L19" s="142">
        <f>IF(Lectura_Fert!S11&lt;&gt;"", Lectura_Fert!S11, "NA")</f>
        <v>0.63</v>
      </c>
      <c r="M19" s="143"/>
      <c r="N19" s="143"/>
      <c r="O19" s="144"/>
      <c r="P19" s="94"/>
      <c r="Q19" s="142">
        <f>IF(Lectura_Fert!S12&lt;&gt;"", Lectura_Fert!S12, "NA")</f>
        <v>0.55000000000000004</v>
      </c>
      <c r="R19" s="143"/>
      <c r="S19" s="143"/>
      <c r="T19" s="144"/>
      <c r="U19" s="94"/>
      <c r="V19" s="142">
        <f>IF(Lectura_Fert!S13&lt;&gt;"", Lectura_Fert!S13, "NA")</f>
        <v>0.54</v>
      </c>
      <c r="W19" s="143"/>
      <c r="X19" s="143"/>
      <c r="Y19" s="144"/>
      <c r="Z19" s="94"/>
      <c r="AA19" s="255">
        <f>IF(Lectura_Fert!S14&lt;&gt;"", Lectura_Fert!S14, "NA")</f>
        <v>0.66</v>
      </c>
      <c r="AB19" s="256"/>
      <c r="AC19" s="256"/>
      <c r="AD19" s="257"/>
      <c r="AE19" s="94"/>
      <c r="AF19" s="244">
        <f>VLOOKUP(Datos_Cliente!$G$16,CULTIVOS!$A$2:$W$127,6,0)</f>
        <v>0.3</v>
      </c>
      <c r="AG19" s="244"/>
      <c r="AH19" s="110" t="s">
        <v>137</v>
      </c>
      <c r="AI19" s="244">
        <f>VLOOKUP(Datos_Cliente!$G$16,CULTIVOS!$A$2:$W$127,7,0)</f>
        <v>0.6</v>
      </c>
      <c r="AJ19" s="244"/>
    </row>
    <row r="20" spans="1:36" ht="15" customHeight="1" x14ac:dyDescent="0.2">
      <c r="A20" s="145" t="s">
        <v>140</v>
      </c>
      <c r="B20" s="146"/>
      <c r="C20" s="146"/>
      <c r="D20" s="146"/>
      <c r="E20" s="146"/>
      <c r="F20" s="146"/>
      <c r="G20" s="252" t="s">
        <v>136</v>
      </c>
      <c r="H20" s="252"/>
      <c r="I20" s="252"/>
      <c r="J20" s="253"/>
      <c r="K20" s="94"/>
      <c r="L20" s="142">
        <f>IF(Lectura_Fert!Y11&lt;&gt;"", (((Lectura_Fert!Y11-Lectura_Fert!$Y$10)*Lectura_Fert!$T11*Lectura_Fert!$U11))/10000, "NA")</f>
        <v>0.88000000000000023</v>
      </c>
      <c r="M20" s="143"/>
      <c r="N20" s="143"/>
      <c r="O20" s="144"/>
      <c r="P20" s="94"/>
      <c r="Q20" s="142">
        <f>IF(Lectura_Fert!Y12&lt;&gt;"", (((Lectura_Fert!Y12-Lectura_Fert!$Y$10)*Lectura_Fert!$T12*Lectura_Fert!$U12))/10000, "NA")</f>
        <v>0.8</v>
      </c>
      <c r="R20" s="143"/>
      <c r="S20" s="143"/>
      <c r="T20" s="144"/>
      <c r="U20" s="94"/>
      <c r="V20" s="142">
        <f>IF(Lectura_Fert!Y13&lt;&gt;"", (((Lectura_Fert!Y13-Lectura_Fert!$Y$10)*Lectura_Fert!$T13*Lectura_Fert!$U13))/10000, "NA")</f>
        <v>0.8</v>
      </c>
      <c r="W20" s="143"/>
      <c r="X20" s="143"/>
      <c r="Y20" s="144"/>
      <c r="Z20" s="94"/>
      <c r="AA20" s="255">
        <f>IF(Lectura_Fert!Y14&lt;&gt;"", (((Lectura_Fert!Y14-Lectura_Fert!$Y$10)*Lectura_Fert!$T14*Lectura_Fert!$U14))/10000, "NA")</f>
        <v>0.81999999999999984</v>
      </c>
      <c r="AB20" s="256"/>
      <c r="AC20" s="256"/>
      <c r="AD20" s="257"/>
      <c r="AE20" s="94"/>
      <c r="AF20" s="244">
        <f>VLOOKUP(Datos_Cliente!$G$16,CULTIVOS!$A$2:$W$127,8,0)</f>
        <v>1.25</v>
      </c>
      <c r="AG20" s="244"/>
      <c r="AH20" s="110" t="s">
        <v>137</v>
      </c>
      <c r="AI20" s="244">
        <f>VLOOKUP(Datos_Cliente!$G$16,CULTIVOS!$A$2:$W$127,9,0)</f>
        <v>2.5</v>
      </c>
      <c r="AJ20" s="244"/>
    </row>
    <row r="21" spans="1:36" ht="15" customHeight="1" x14ac:dyDescent="0.2">
      <c r="A21" s="145" t="s">
        <v>141</v>
      </c>
      <c r="B21" s="146"/>
      <c r="C21" s="146"/>
      <c r="D21" s="146"/>
      <c r="E21" s="146"/>
      <c r="F21" s="146"/>
      <c r="G21" s="252" t="s">
        <v>136</v>
      </c>
      <c r="H21" s="252"/>
      <c r="I21" s="252"/>
      <c r="J21" s="253"/>
      <c r="K21" s="94"/>
      <c r="L21" s="142">
        <f>IF(Lectura_Fert!J11&lt;&gt;"", (VLOOKUP(Lectura_Fert!J11,P_Aprov!$A$2:$B$193,2)*(100/Lectura_Fert!H11)*(50/Lectura_Fert!I11))/10000, "NA")</f>
        <v>0.12817866498468397</v>
      </c>
      <c r="M21" s="143"/>
      <c r="N21" s="143"/>
      <c r="O21" s="144"/>
      <c r="P21" s="94"/>
      <c r="Q21" s="142">
        <f>IF(Lectura_Fert!J12&lt;&gt;"", (VLOOKUP(Lectura_Fert!J12,P_Aprov!$A$2:$B$193,2)*(100/Lectura_Fert!H12)*(50/Lectura_Fert!I12))/10000, "NA")</f>
        <v>0.12191059730744848</v>
      </c>
      <c r="R21" s="143"/>
      <c r="S21" s="143"/>
      <c r="T21" s="144"/>
      <c r="U21" s="94"/>
      <c r="V21" s="142">
        <f>IF(Lectura_Fert!J13&lt;&gt;"", (VLOOKUP(Lectura_Fert!J13,P_Aprov!$A$2:$B$193,2)*(100/Lectura_Fert!H13)*(50/Lectura_Fert!I13))/10000, "NA")</f>
        <v>0.14082054223361284</v>
      </c>
      <c r="W21" s="143"/>
      <c r="X21" s="143"/>
      <c r="Y21" s="144"/>
      <c r="Z21" s="94"/>
      <c r="AA21" s="255">
        <f>IF(Lectura_Fert!J14&lt;&gt;"", (VLOOKUP(Lectura_Fert!J14,P_Aprov!$A$2:$B$193,2)*(100/Lectura_Fert!H14)*(50/Lectura_Fert!I14))/10000, "NA")</f>
        <v>0.13448184807017413</v>
      </c>
      <c r="AB21" s="256"/>
      <c r="AC21" s="256"/>
      <c r="AD21" s="257"/>
      <c r="AE21" s="94"/>
      <c r="AF21" s="244">
        <f>VLOOKUP(Datos_Cliente!$G$16,CULTIVOS!$A$2:$W$127,10,0)</f>
        <v>0.14000000000000001</v>
      </c>
      <c r="AG21" s="244"/>
      <c r="AH21" s="110" t="s">
        <v>137</v>
      </c>
      <c r="AI21" s="244">
        <f>VLOOKUP(Datos_Cliente!$G$16,CULTIVOS!$A$2:$W$127,11,0)</f>
        <v>0.3</v>
      </c>
      <c r="AJ21" s="244"/>
    </row>
    <row r="22" spans="1:36" ht="15" customHeight="1" x14ac:dyDescent="0.2">
      <c r="A22" s="145" t="s">
        <v>289</v>
      </c>
      <c r="B22" s="146"/>
      <c r="C22" s="146"/>
      <c r="D22" s="146"/>
      <c r="E22" s="146"/>
      <c r="F22" s="146"/>
      <c r="G22" s="252" t="s">
        <v>142</v>
      </c>
      <c r="H22" s="252"/>
      <c r="I22" s="252"/>
      <c r="J22" s="253"/>
      <c r="K22" s="94"/>
      <c r="L22" s="258" t="str">
        <f>IF(Lectura_Fert!Q11&lt;&gt;"", VLOOKUP(Lectura_Fert!Q11,'N-NO3'!$A$2:$B$187,2)*(Lectura_Fert!N11/Lectura_Fert!M11)*(Lectura_Fert!P11/Lectura_Fert!O11), "NA")</f>
        <v>NA</v>
      </c>
      <c r="M22" s="259"/>
      <c r="N22" s="259"/>
      <c r="O22" s="260"/>
      <c r="P22" s="103"/>
      <c r="Q22" s="258" t="str">
        <f>IF(Lectura_Fert!Q12&lt;&gt;"", VLOOKUP(Lectura_Fert!Q12,'N-NO3'!$A$2:$B$187,2)*(Lectura_Fert!N12/Lectura_Fert!M12)*(Lectura_Fert!P12/Lectura_Fert!O12), "NA")</f>
        <v>NA</v>
      </c>
      <c r="R22" s="259"/>
      <c r="S22" s="259"/>
      <c r="T22" s="260"/>
      <c r="U22" s="94"/>
      <c r="V22" s="142" t="str">
        <f>IF(Lectura_Fert!Q13&lt;&gt;"", VLOOKUP(Lectura_Fert!Q13,'N-NO3'!$A$2:$B$187,2)*(Lectura_Fert!N13/Lectura_Fert!M13)*(Lectura_Fert!P13/Lectura_Fert!O13), "NA")</f>
        <v>NA</v>
      </c>
      <c r="W22" s="143"/>
      <c r="X22" s="143"/>
      <c r="Y22" s="144"/>
      <c r="Z22" s="94"/>
      <c r="AA22" s="255" t="str">
        <f>IF(Lectura_Fert!Q14&lt;&gt;"", VLOOKUP(Lectura_Fert!Q14,'N-NO3'!$A$2:$B$187,2)*(Lectura_Fert!N14/Lectura_Fert!M14)*(Lectura_Fert!P14/Lectura_Fert!O14), "NA")</f>
        <v>NA</v>
      </c>
      <c r="AB22" s="256"/>
      <c r="AC22" s="256"/>
      <c r="AD22" s="257"/>
      <c r="AE22" s="94"/>
      <c r="AF22" s="244">
        <f>VLOOKUP(Datos_Cliente!$G$16,CULTIVOS!$A$2:$W$127,12,0)</f>
        <v>0</v>
      </c>
      <c r="AG22" s="244"/>
      <c r="AH22" s="110" t="s">
        <v>137</v>
      </c>
      <c r="AI22" s="244">
        <f>VLOOKUP(Datos_Cliente!$G$16,CULTIVOS!$A$2:$W$127,13,0)</f>
        <v>0</v>
      </c>
      <c r="AJ22" s="244"/>
    </row>
    <row r="23" spans="1:36" ht="15" customHeight="1" thickBot="1" x14ac:dyDescent="0.25">
      <c r="A23" s="245" t="s">
        <v>143</v>
      </c>
      <c r="B23" s="246"/>
      <c r="C23" s="246"/>
      <c r="D23" s="246"/>
      <c r="E23" s="246"/>
      <c r="F23" s="246"/>
      <c r="G23" s="273" t="s">
        <v>132</v>
      </c>
      <c r="H23" s="273"/>
      <c r="I23" s="273"/>
      <c r="J23" s="274"/>
      <c r="K23" s="94"/>
      <c r="L23" s="245" t="s">
        <v>286</v>
      </c>
      <c r="M23" s="246"/>
      <c r="N23" s="246"/>
      <c r="O23" s="344"/>
      <c r="P23" s="94"/>
      <c r="Q23" s="343" t="s">
        <v>286</v>
      </c>
      <c r="R23" s="273"/>
      <c r="S23" s="273"/>
      <c r="T23" s="274"/>
      <c r="U23" s="94"/>
      <c r="V23" s="343" t="s">
        <v>286</v>
      </c>
      <c r="W23" s="273"/>
      <c r="X23" s="273"/>
      <c r="Y23" s="274"/>
      <c r="Z23" s="94"/>
      <c r="AA23" s="343" t="s">
        <v>286</v>
      </c>
      <c r="AB23" s="273"/>
      <c r="AC23" s="273"/>
      <c r="AD23" s="274"/>
      <c r="AE23" s="94"/>
      <c r="AF23" s="341"/>
      <c r="AG23" s="221"/>
      <c r="AH23" s="102"/>
      <c r="AI23" s="221"/>
      <c r="AJ23" s="342"/>
    </row>
    <row r="24" spans="1:36" ht="15" customHeight="1" x14ac:dyDescent="0.2">
      <c r="A24" s="247" t="s">
        <v>144</v>
      </c>
      <c r="B24" s="248"/>
      <c r="C24" s="248"/>
      <c r="D24" s="248"/>
      <c r="E24" s="248"/>
      <c r="F24" s="248"/>
      <c r="G24" s="252" t="s">
        <v>142</v>
      </c>
      <c r="H24" s="252"/>
      <c r="I24" s="252"/>
      <c r="J24" s="253"/>
      <c r="K24" s="94"/>
      <c r="L24" s="249">
        <f>IF(Lectura_Fert!E11&lt;&gt;"", Lectura_Fert!E11, "NA")</f>
        <v>168.71</v>
      </c>
      <c r="M24" s="250"/>
      <c r="N24" s="250"/>
      <c r="O24" s="251"/>
      <c r="P24" s="94"/>
      <c r="Q24" s="249">
        <f>IF(Lectura_Fert!E12&lt;&gt;"", Lectura_Fert!E12, "NA")</f>
        <v>162.47999999999999</v>
      </c>
      <c r="R24" s="250"/>
      <c r="S24" s="250"/>
      <c r="T24" s="251"/>
      <c r="U24" s="94"/>
      <c r="V24" s="249">
        <f>IF(Lectura_Fert!E13&lt;&gt;"", Lectura_Fert!E13, "NA")</f>
        <v>168.46</v>
      </c>
      <c r="W24" s="250"/>
      <c r="X24" s="250"/>
      <c r="Y24" s="251"/>
      <c r="Z24" s="94"/>
      <c r="AA24" s="249">
        <f>IF(Lectura_Fert!E14&lt;&gt;"", Lectura_Fert!E14, "NA")</f>
        <v>158.88999999999999</v>
      </c>
      <c r="AB24" s="250"/>
      <c r="AC24" s="250"/>
      <c r="AD24" s="251"/>
      <c r="AE24" s="94"/>
      <c r="AF24" s="244">
        <f>VLOOKUP(Datos_Cliente!$G$16,CULTIVOS!$A$2:$W$127,14,0)</f>
        <v>50</v>
      </c>
      <c r="AG24" s="244"/>
      <c r="AH24" s="111" t="s">
        <v>137</v>
      </c>
      <c r="AI24" s="244">
        <f>VLOOKUP(Datos_Cliente!$G$16,CULTIVOS!$A$2:$W$127,15,0)</f>
        <v>300</v>
      </c>
      <c r="AJ24" s="244"/>
    </row>
    <row r="25" spans="1:36" ht="15" customHeight="1" x14ac:dyDescent="0.2">
      <c r="A25" s="247" t="s">
        <v>145</v>
      </c>
      <c r="B25" s="248"/>
      <c r="C25" s="248"/>
      <c r="D25" s="248"/>
      <c r="E25" s="248"/>
      <c r="F25" s="248"/>
      <c r="G25" s="252" t="s">
        <v>142</v>
      </c>
      <c r="H25" s="252"/>
      <c r="I25" s="252"/>
      <c r="J25" s="253"/>
      <c r="K25" s="94"/>
      <c r="L25" s="255">
        <f>IF(Lectura_Fert!D11&lt;&gt;"", Lectura_Fert!D11, "NA")</f>
        <v>657.22</v>
      </c>
      <c r="M25" s="256"/>
      <c r="N25" s="256"/>
      <c r="O25" s="257"/>
      <c r="P25" s="94"/>
      <c r="Q25" s="255">
        <f>IF(Lectura_Fert!D12&lt;&gt;"", Lectura_Fert!D12, "NA")</f>
        <v>563.95000000000005</v>
      </c>
      <c r="R25" s="256"/>
      <c r="S25" s="256"/>
      <c r="T25" s="257"/>
      <c r="U25" s="94"/>
      <c r="V25" s="255">
        <f>IF(Lectura_Fert!D13&lt;&gt;"", Lectura_Fert!D13, "NA")</f>
        <v>583.20000000000005</v>
      </c>
      <c r="W25" s="256"/>
      <c r="X25" s="256"/>
      <c r="Y25" s="257"/>
      <c r="Z25" s="94"/>
      <c r="AA25" s="255">
        <f>IF(Lectura_Fert!D14&lt;&gt;"", Lectura_Fert!D14, "NA")</f>
        <v>614.38</v>
      </c>
      <c r="AB25" s="256"/>
      <c r="AC25" s="256"/>
      <c r="AD25" s="257"/>
      <c r="AE25" s="94"/>
      <c r="AF25" s="244">
        <f>VLOOKUP(Datos_Cliente!$G$16,CULTIVOS!$A$2:$W$127,16,0)</f>
        <v>80</v>
      </c>
      <c r="AG25" s="244"/>
      <c r="AH25" s="110" t="s">
        <v>137</v>
      </c>
      <c r="AI25" s="244">
        <f>VLOOKUP(Datos_Cliente!$G$16,CULTIVOS!$A$2:$W$127,17,0)</f>
        <v>300</v>
      </c>
      <c r="AJ25" s="244"/>
    </row>
    <row r="26" spans="1:36" ht="15" customHeight="1" x14ac:dyDescent="0.2">
      <c r="A26" s="247" t="s">
        <v>146</v>
      </c>
      <c r="B26" s="248"/>
      <c r="C26" s="248"/>
      <c r="D26" s="248"/>
      <c r="E26" s="248"/>
      <c r="F26" s="248"/>
      <c r="G26" s="252" t="s">
        <v>142</v>
      </c>
      <c r="H26" s="252"/>
      <c r="I26" s="252"/>
      <c r="J26" s="253"/>
      <c r="K26" s="94"/>
      <c r="L26" s="255">
        <f>IF(Lectura_Fert!F11&lt;&gt;"", Lectura_Fert!F11, "NA")</f>
        <v>82.26</v>
      </c>
      <c r="M26" s="256"/>
      <c r="N26" s="256"/>
      <c r="O26" s="257"/>
      <c r="P26" s="94"/>
      <c r="Q26" s="255">
        <f>IF(Lectura_Fert!F12&lt;&gt;"", Lectura_Fert!F12, "NA")</f>
        <v>116.87</v>
      </c>
      <c r="R26" s="256"/>
      <c r="S26" s="256"/>
      <c r="T26" s="257"/>
      <c r="U26" s="94"/>
      <c r="V26" s="255">
        <f>IF(Lectura_Fert!F13&lt;&gt;"", Lectura_Fert!F13, "NA")</f>
        <v>120.3</v>
      </c>
      <c r="W26" s="256"/>
      <c r="X26" s="256"/>
      <c r="Y26" s="257"/>
      <c r="Z26" s="94"/>
      <c r="AA26" s="255">
        <f>IF(Lectura_Fert!F14&lt;&gt;"", Lectura_Fert!F14, "NA")</f>
        <v>131.62</v>
      </c>
      <c r="AB26" s="256"/>
      <c r="AC26" s="256"/>
      <c r="AD26" s="257"/>
      <c r="AE26" s="94"/>
      <c r="AF26" s="244">
        <f>VLOOKUP(Datos_Cliente!$G$16,CULTIVOS!$A$2:$W$127,18,0)</f>
        <v>50</v>
      </c>
      <c r="AG26" s="244"/>
      <c r="AH26" s="110" t="s">
        <v>137</v>
      </c>
      <c r="AI26" s="244">
        <f>VLOOKUP(Datos_Cliente!$G$16,CULTIVOS!$A$2:$W$127,19,0)</f>
        <v>100</v>
      </c>
      <c r="AJ26" s="244"/>
    </row>
    <row r="27" spans="1:36" ht="15" customHeight="1" x14ac:dyDescent="0.2">
      <c r="A27" s="247" t="s">
        <v>147</v>
      </c>
      <c r="B27" s="248"/>
      <c r="C27" s="248"/>
      <c r="D27" s="248"/>
      <c r="E27" s="248"/>
      <c r="F27" s="248"/>
      <c r="G27" s="252" t="s">
        <v>142</v>
      </c>
      <c r="H27" s="252"/>
      <c r="I27" s="252"/>
      <c r="J27" s="253"/>
      <c r="K27" s="94"/>
      <c r="L27" s="255">
        <f>IF(Lectura_Fert!C11&lt;&gt;"", Lectura_Fert!C11, "NA")</f>
        <v>4.88</v>
      </c>
      <c r="M27" s="256"/>
      <c r="N27" s="256"/>
      <c r="O27" s="257"/>
      <c r="P27" s="94"/>
      <c r="Q27" s="255">
        <f>IF(Lectura_Fert!C12&lt;&gt;"", Lectura_Fert!C12, "NA")</f>
        <v>4.8899999999999997</v>
      </c>
      <c r="R27" s="256"/>
      <c r="S27" s="256"/>
      <c r="T27" s="257"/>
      <c r="U27" s="94"/>
      <c r="V27" s="255">
        <f>IF(Lectura_Fert!C13&lt;&gt;"", Lectura_Fert!C13, "NA")</f>
        <v>4.8</v>
      </c>
      <c r="W27" s="256"/>
      <c r="X27" s="256"/>
      <c r="Y27" s="257"/>
      <c r="Z27" s="94"/>
      <c r="AA27" s="255">
        <f>IF(Lectura_Fert!C14&lt;&gt;"", Lectura_Fert!C14, "NA")</f>
        <v>4.24</v>
      </c>
      <c r="AB27" s="256"/>
      <c r="AC27" s="256"/>
      <c r="AD27" s="257"/>
      <c r="AE27" s="94"/>
      <c r="AF27" s="244">
        <f>VLOOKUP(Datos_Cliente!$G$16,CULTIVOS!$A$2:$W$127,20,0)</f>
        <v>6</v>
      </c>
      <c r="AG27" s="244"/>
      <c r="AH27" s="110" t="s">
        <v>137</v>
      </c>
      <c r="AI27" s="244">
        <f>VLOOKUP(Datos_Cliente!$G$16,CULTIVOS!$A$2:$W$127,21,0)</f>
        <v>30</v>
      </c>
      <c r="AJ27" s="244"/>
    </row>
    <row r="28" spans="1:36" ht="15" customHeight="1" x14ac:dyDescent="0.2">
      <c r="A28" s="247" t="s">
        <v>148</v>
      </c>
      <c r="B28" s="248"/>
      <c r="C28" s="248"/>
      <c r="D28" s="248"/>
      <c r="E28" s="248"/>
      <c r="F28" s="248"/>
      <c r="G28" s="252" t="s">
        <v>142</v>
      </c>
      <c r="H28" s="252"/>
      <c r="I28" s="252"/>
      <c r="J28" s="253"/>
      <c r="K28" s="94"/>
      <c r="L28" s="255">
        <f>IF(Lectura_Fert!G11&lt;&gt;"", VLOOKUP(Lectura_Fert!G11,Boro!$A$2:$C$194,3)*400, "NA")</f>
        <v>187.6717404673299</v>
      </c>
      <c r="M28" s="256"/>
      <c r="N28" s="256"/>
      <c r="O28" s="257"/>
      <c r="P28" s="94"/>
      <c r="Q28" s="255">
        <f>IF(Lectura_Fert!G12&lt;&gt;"", VLOOKUP(Lectura_Fert!G12,Boro!$A$2:$C$194,3)*400, "NA")</f>
        <v>137.04990755582912</v>
      </c>
      <c r="R28" s="256"/>
      <c r="S28" s="256"/>
      <c r="T28" s="257"/>
      <c r="U28" s="94"/>
      <c r="V28" s="255">
        <f>IF(Lectura_Fert!G13&lt;&gt;"", VLOOKUP(Lectura_Fert!G13,Boro!$A$2:$C$194,3)*400, "NA")</f>
        <v>146.48691160792339</v>
      </c>
      <c r="W28" s="256"/>
      <c r="X28" s="256"/>
      <c r="Y28" s="257"/>
      <c r="Z28" s="94"/>
      <c r="AA28" s="255">
        <f>IF(Lectura_Fert!G14&lt;&gt;"", VLOOKUP(Lectura_Fert!G14,Boro!$A$2:$C$194,3)*400, "NA")</f>
        <v>171.52903280699542</v>
      </c>
      <c r="AB28" s="256"/>
      <c r="AC28" s="256"/>
      <c r="AD28" s="257"/>
      <c r="AE28" s="94"/>
      <c r="AF28" s="244">
        <f>VLOOKUP(Datos_Cliente!$G$16,CULTIVOS!$A$2:$W$127,22,0)</f>
        <v>15</v>
      </c>
      <c r="AG28" s="244"/>
      <c r="AH28" s="110" t="s">
        <v>137</v>
      </c>
      <c r="AI28" s="244">
        <f>VLOOKUP(Datos_Cliente!$G$16,CULTIVOS!$A$2:$W$127,23,0)</f>
        <v>50</v>
      </c>
      <c r="AJ28" s="244"/>
    </row>
    <row r="29" spans="1:36" ht="14.1" customHeight="1" x14ac:dyDescent="0.2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s="1" customFormat="1" ht="14.1" customHeight="1" thickBot="1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</row>
    <row r="31" spans="1:36" s="1" customFormat="1" ht="14.1" customHeight="1" thickBot="1" x14ac:dyDescent="0.25">
      <c r="A31" s="225" t="s">
        <v>149</v>
      </c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7"/>
    </row>
    <row r="32" spans="1:36" ht="14.1" customHeight="1" x14ac:dyDescent="0.2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6"/>
    </row>
    <row r="33" spans="1:36" s="1" customFormat="1" ht="14.1" customHeight="1" x14ac:dyDescent="0.2">
      <c r="A33" s="331" t="s">
        <v>313</v>
      </c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3"/>
    </row>
    <row r="34" spans="1:36" s="1" customFormat="1" ht="14.1" customHeight="1" x14ac:dyDescent="0.2">
      <c r="A34" s="334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3"/>
    </row>
    <row r="35" spans="1:36" s="1" customFormat="1" ht="14.1" customHeight="1" x14ac:dyDescent="0.2">
      <c r="A35" s="334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3"/>
    </row>
    <row r="36" spans="1:36" ht="14.1" customHeight="1" x14ac:dyDescent="0.2">
      <c r="A36" s="334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3"/>
    </row>
    <row r="37" spans="1:36" ht="14.1" customHeight="1" x14ac:dyDescent="0.2">
      <c r="A37" s="334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3"/>
    </row>
    <row r="38" spans="1:36" ht="14.1" customHeight="1" x14ac:dyDescent="0.2">
      <c r="A38" s="334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3"/>
    </row>
    <row r="39" spans="1:36" ht="14.1" customHeight="1" x14ac:dyDescent="0.2">
      <c r="A39" s="334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3"/>
    </row>
    <row r="40" spans="1:36" ht="14.1" customHeight="1" x14ac:dyDescent="0.2">
      <c r="A40" s="334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3"/>
    </row>
    <row r="41" spans="1:36" ht="14.1" customHeight="1" x14ac:dyDescent="0.2">
      <c r="A41" s="334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3"/>
    </row>
    <row r="42" spans="1:36" ht="14.1" customHeight="1" x14ac:dyDescent="0.2">
      <c r="A42" s="334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3"/>
    </row>
    <row r="43" spans="1:36" ht="14.1" customHeight="1" x14ac:dyDescent="0.2">
      <c r="A43" s="334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3"/>
    </row>
    <row r="44" spans="1:36" ht="14.1" customHeight="1" x14ac:dyDescent="0.2">
      <c r="A44" s="334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3"/>
    </row>
    <row r="45" spans="1:36" ht="14.1" customHeight="1" x14ac:dyDescent="0.2">
      <c r="A45" s="334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3"/>
    </row>
    <row r="46" spans="1:36" ht="14.1" customHeight="1" thickBot="1" x14ac:dyDescent="0.25">
      <c r="A46" s="335"/>
      <c r="B46" s="336"/>
      <c r="C46" s="336"/>
      <c r="D46" s="336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336"/>
      <c r="AD46" s="336"/>
      <c r="AE46" s="336"/>
      <c r="AF46" s="336"/>
      <c r="AG46" s="336"/>
      <c r="AH46" s="336"/>
      <c r="AI46" s="336"/>
      <c r="AJ46" s="337"/>
    </row>
    <row r="47" spans="1:36" ht="14.1" customHeight="1" x14ac:dyDescent="0.2">
      <c r="A47" s="137" t="s">
        <v>291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</row>
    <row r="48" spans="1:36" ht="14.1" customHeight="1" x14ac:dyDescent="0.2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</row>
    <row r="49" spans="1:36" ht="14.1" customHeight="1" x14ac:dyDescent="0.2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36" ht="14.1" customHeight="1" x14ac:dyDescent="0.2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36" ht="15" customHeight="1" thickBot="1" x14ac:dyDescent="0.25">
      <c r="H51" s="9"/>
      <c r="I51" s="9"/>
      <c r="J51" s="9"/>
      <c r="K51" s="9"/>
      <c r="L51" s="9"/>
      <c r="M51" s="9"/>
      <c r="N51" s="254"/>
      <c r="O51" s="254"/>
      <c r="P51" s="254"/>
      <c r="Q51" s="254"/>
      <c r="R51" s="254"/>
      <c r="S51" s="254"/>
      <c r="T51" s="254"/>
      <c r="U51" s="254"/>
      <c r="V51" s="254"/>
      <c r="W51" s="254"/>
    </row>
    <row r="52" spans="1:36" ht="15" customHeight="1" x14ac:dyDescent="0.2">
      <c r="H52" s="9"/>
      <c r="I52" s="9"/>
      <c r="J52" s="9"/>
      <c r="K52" s="9"/>
      <c r="L52" s="9"/>
      <c r="M52" s="9"/>
      <c r="N52" s="221" t="s">
        <v>150</v>
      </c>
      <c r="O52" s="221"/>
      <c r="P52" s="221"/>
      <c r="Q52" s="221"/>
      <c r="R52" s="221"/>
      <c r="S52" s="221"/>
      <c r="T52" s="221"/>
      <c r="U52" s="221"/>
      <c r="V52" s="221"/>
      <c r="W52" s="221"/>
    </row>
    <row r="53" spans="1:36" ht="15" customHeight="1" x14ac:dyDescent="0.2">
      <c r="H53" s="9"/>
      <c r="I53" s="9"/>
      <c r="J53" s="9"/>
      <c r="K53" s="9"/>
      <c r="L53" s="9"/>
      <c r="M53" s="9"/>
      <c r="N53" s="96"/>
      <c r="O53" s="96"/>
      <c r="P53" s="96"/>
      <c r="Q53" s="96"/>
      <c r="R53" s="96"/>
      <c r="S53" s="96"/>
      <c r="T53" s="96"/>
      <c r="U53" s="96"/>
      <c r="V53" s="96"/>
      <c r="W53" s="96"/>
    </row>
    <row r="54" spans="1:36" ht="15" customHeight="1" x14ac:dyDescent="0.2">
      <c r="H54" s="9"/>
      <c r="I54" s="9"/>
      <c r="J54" s="9"/>
      <c r="K54" s="9"/>
      <c r="L54" s="9"/>
      <c r="M54" s="9"/>
      <c r="N54" s="81"/>
      <c r="O54" s="81"/>
      <c r="P54" s="81"/>
      <c r="Q54" s="81"/>
      <c r="R54" s="81"/>
      <c r="S54" s="81"/>
      <c r="T54" s="81"/>
      <c r="U54" s="81"/>
      <c r="V54" s="81"/>
      <c r="W54" s="81"/>
    </row>
    <row r="55" spans="1:36" ht="15" customHeight="1" thickBot="1" x14ac:dyDescent="0.25">
      <c r="H55" s="9"/>
      <c r="I55" s="9"/>
      <c r="J55" s="9"/>
      <c r="K55" s="9"/>
      <c r="L55" s="9"/>
      <c r="M55" s="9"/>
    </row>
    <row r="56" spans="1:36" ht="11.25" customHeight="1" x14ac:dyDescent="0.2">
      <c r="A56" s="192"/>
      <c r="B56" s="193"/>
      <c r="C56" s="193"/>
      <c r="D56" s="193"/>
      <c r="E56" s="193"/>
      <c r="F56" s="193"/>
      <c r="G56" s="193"/>
      <c r="H56" s="193"/>
      <c r="I56" s="198" t="s">
        <v>109</v>
      </c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239" t="s">
        <v>110</v>
      </c>
      <c r="AE56" s="239"/>
      <c r="AF56" s="239"/>
      <c r="AG56" s="240" t="s">
        <v>283</v>
      </c>
      <c r="AH56" s="240"/>
      <c r="AI56" s="99">
        <f>ROUNDUP(Datos_Cliente!$C$8/4,0)</f>
        <v>2</v>
      </c>
      <c r="AJ56" s="100"/>
    </row>
    <row r="57" spans="1:36" ht="11.25" customHeight="1" x14ac:dyDescent="0.2">
      <c r="A57" s="194"/>
      <c r="B57" s="195"/>
      <c r="C57" s="195"/>
      <c r="D57" s="195"/>
      <c r="E57" s="195"/>
      <c r="F57" s="195"/>
      <c r="G57" s="195"/>
      <c r="H57" s="195"/>
      <c r="I57" s="220" t="s">
        <v>112</v>
      </c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41" t="s">
        <v>114</v>
      </c>
      <c r="AE57" s="241"/>
      <c r="AF57" s="241"/>
      <c r="AG57" s="242">
        <f>IF(Datos_Cliente!$G$15&lt;&gt;"", Datos_Cliente!$G$15,"NA")</f>
        <v>45926</v>
      </c>
      <c r="AH57" s="242"/>
      <c r="AI57" s="242"/>
      <c r="AJ57" s="243"/>
    </row>
    <row r="58" spans="1:36" ht="11.25" customHeight="1" x14ac:dyDescent="0.2">
      <c r="A58" s="194"/>
      <c r="B58" s="195"/>
      <c r="C58" s="195"/>
      <c r="D58" s="195"/>
      <c r="E58" s="195"/>
      <c r="F58" s="195"/>
      <c r="G58" s="195"/>
      <c r="H58" s="195"/>
      <c r="I58" s="220" t="s">
        <v>113</v>
      </c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159" t="s">
        <v>117</v>
      </c>
      <c r="AE58" s="159"/>
      <c r="AF58" s="159"/>
      <c r="AG58" s="159"/>
      <c r="AH58" s="161" t="str">
        <f>IF(Datos_Cliente!$G$4&lt;&gt;"", Datos_Cliente!$G$4,"NA")</f>
        <v>0034</v>
      </c>
      <c r="AI58" s="161"/>
      <c r="AJ58" s="162"/>
    </row>
    <row r="59" spans="1:36" ht="11.25" customHeight="1" x14ac:dyDescent="0.2">
      <c r="A59" s="194"/>
      <c r="B59" s="195"/>
      <c r="C59" s="195"/>
      <c r="D59" s="195"/>
      <c r="E59" s="195"/>
      <c r="F59" s="195"/>
      <c r="G59" s="195"/>
      <c r="H59" s="195"/>
      <c r="I59" s="221" t="s">
        <v>115</v>
      </c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159"/>
      <c r="AE59" s="159"/>
      <c r="AF59" s="159"/>
      <c r="AG59" s="159"/>
      <c r="AH59" s="161"/>
      <c r="AI59" s="161"/>
      <c r="AJ59" s="162"/>
    </row>
    <row r="60" spans="1:36" ht="11.25" customHeight="1" x14ac:dyDescent="0.2">
      <c r="A60" s="194"/>
      <c r="B60" s="195"/>
      <c r="C60" s="195"/>
      <c r="D60" s="195"/>
      <c r="E60" s="195"/>
      <c r="F60" s="195"/>
      <c r="G60" s="195"/>
      <c r="H60" s="195"/>
      <c r="I60" s="221" t="s">
        <v>116</v>
      </c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159" t="s">
        <v>282</v>
      </c>
      <c r="AE60" s="159"/>
      <c r="AF60" s="159"/>
      <c r="AG60" s="159"/>
      <c r="AH60" s="161" t="str">
        <f>IF(Datos_Cliente!$C$4&lt;&gt;"", Datos_Cliente!$C$4,"NA")</f>
        <v>2025-0482</v>
      </c>
      <c r="AI60" s="161"/>
      <c r="AJ60" s="162"/>
    </row>
    <row r="61" spans="1:36" ht="11.25" customHeight="1" thickBot="1" x14ac:dyDescent="0.25">
      <c r="A61" s="196"/>
      <c r="B61" s="197"/>
      <c r="C61" s="197"/>
      <c r="D61" s="197"/>
      <c r="E61" s="197"/>
      <c r="F61" s="197"/>
      <c r="G61" s="197"/>
      <c r="H61" s="197"/>
      <c r="I61" s="224" t="s">
        <v>118</v>
      </c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160"/>
      <c r="AE61" s="160"/>
      <c r="AF61" s="160"/>
      <c r="AG61" s="160"/>
      <c r="AH61" s="163"/>
      <c r="AI61" s="163"/>
      <c r="AJ61" s="164"/>
    </row>
    <row r="62" spans="1:36" ht="11.25" customHeight="1" x14ac:dyDescent="0.3">
      <c r="A62" s="4"/>
      <c r="B62" s="4"/>
      <c r="C62" s="4"/>
      <c r="D62" s="4"/>
      <c r="E62" s="4"/>
      <c r="F62" s="4"/>
      <c r="G62" s="4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5"/>
      <c r="T62" s="5"/>
      <c r="U62" s="6"/>
      <c r="V62" s="6"/>
      <c r="W62" s="6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spans="1:36" ht="11.25" customHeight="1" x14ac:dyDescent="0.2">
      <c r="A63" s="217" t="s">
        <v>119</v>
      </c>
      <c r="B63" s="217"/>
      <c r="C63" s="217"/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</row>
    <row r="64" spans="1:36" ht="11.25" customHeight="1" thickBot="1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14.1" customHeight="1" x14ac:dyDescent="0.2">
      <c r="A65" s="158" t="s">
        <v>120</v>
      </c>
      <c r="B65" s="152"/>
      <c r="C65" s="152"/>
      <c r="D65" s="152"/>
      <c r="E65" s="151" t="str">
        <f>IF(Datos_Cliente!$C$6&lt;&gt;"", Datos_Cliente!$C$6,"NA")</f>
        <v xml:space="preserve">EL CAUDILLO 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2" t="s">
        <v>121</v>
      </c>
      <c r="R65" s="152"/>
      <c r="S65" s="152"/>
      <c r="T65" s="151" t="str">
        <f>IF(Datos_Cliente!$G$6&lt;&gt;"", Datos_Cliente!$G$6,"NA")</f>
        <v>BLOCK 905</v>
      </c>
      <c r="U65" s="151"/>
      <c r="V65" s="151"/>
      <c r="W65" s="151"/>
      <c r="X65" s="151"/>
      <c r="Y65" s="151"/>
      <c r="Z65" s="151"/>
      <c r="AA65" s="152" t="s">
        <v>122</v>
      </c>
      <c r="AB65" s="152"/>
      <c r="AC65" s="152"/>
      <c r="AD65" s="152"/>
      <c r="AE65" s="152"/>
      <c r="AF65" s="152"/>
      <c r="AG65" s="151" t="str">
        <f>IF(Datos_Cliente!$G$7&lt;&gt;"", Datos_Cliente!$G$7,"NA")</f>
        <v xml:space="preserve">NOGAL </v>
      </c>
      <c r="AH65" s="151"/>
      <c r="AI65" s="151"/>
      <c r="AJ65" s="153"/>
    </row>
    <row r="66" spans="1:38" ht="14.1" customHeight="1" x14ac:dyDescent="0.2">
      <c r="A66" s="154" t="s">
        <v>123</v>
      </c>
      <c r="B66" s="155"/>
      <c r="C66" s="155"/>
      <c r="D66" s="155"/>
      <c r="E66" s="156" t="str">
        <f>IF(Datos_Cliente!$C$7&lt;&gt;"", Datos_Cliente!$C$7,"NA")</f>
        <v xml:space="preserve">EL CAUDILLO </v>
      </c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5" t="s">
        <v>124</v>
      </c>
      <c r="R66" s="155"/>
      <c r="S66" s="155"/>
      <c r="T66" s="156" t="str">
        <f>IF(Datos_Cliente!$G$11&lt;&gt;"", Datos_Cliente!$G$11,"NA")</f>
        <v xml:space="preserve">GOTEO </v>
      </c>
      <c r="U66" s="156"/>
      <c r="V66" s="156"/>
      <c r="W66" s="156"/>
      <c r="X66" s="156"/>
      <c r="Y66" s="156"/>
      <c r="Z66" s="156"/>
      <c r="AA66" s="155" t="s">
        <v>125</v>
      </c>
      <c r="AB66" s="155"/>
      <c r="AC66" s="155"/>
      <c r="AD66" s="155"/>
      <c r="AE66" s="155"/>
      <c r="AF66" s="155"/>
      <c r="AG66" s="156" t="str">
        <f>IF(Datos_Cliente!$G$8&lt;&gt;"", Datos_Cliente!$G$8,"NA")</f>
        <v xml:space="preserve">NOGAL </v>
      </c>
      <c r="AH66" s="156"/>
      <c r="AI66" s="156"/>
      <c r="AJ66" s="157"/>
    </row>
    <row r="67" spans="1:38" ht="14.1" customHeight="1" thickBot="1" x14ac:dyDescent="0.25">
      <c r="A67" s="183" t="s">
        <v>126</v>
      </c>
      <c r="B67" s="184"/>
      <c r="C67" s="184"/>
      <c r="D67" s="184"/>
      <c r="E67" s="186" t="str">
        <f>IF(Datos_Cliente!$G$5&lt;&gt;"", Datos_Cliente!$G$5,"NA")</f>
        <v xml:space="preserve">BACUM, SON. </v>
      </c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4" t="s">
        <v>127</v>
      </c>
      <c r="R67" s="184"/>
      <c r="S67" s="184"/>
      <c r="T67" s="186" t="str">
        <f>IF(Datos_Cliente!$G$9&lt;&gt;"", Datos_Cliente!$G$9,"NA")</f>
        <v xml:space="preserve">COSECHA </v>
      </c>
      <c r="U67" s="186"/>
      <c r="V67" s="186"/>
      <c r="W67" s="186"/>
      <c r="X67" s="186"/>
      <c r="Y67" s="186"/>
      <c r="Z67" s="186"/>
      <c r="AA67" s="184" t="s">
        <v>128</v>
      </c>
      <c r="AB67" s="184"/>
      <c r="AC67" s="184"/>
      <c r="AD67" s="184"/>
      <c r="AE67" s="184"/>
      <c r="AF67" s="184"/>
      <c r="AG67" s="236">
        <f>IF(Datos_Cliente!$C$5&lt;&gt;"", Datos_Cliente!$C$5,"NA")</f>
        <v>45922</v>
      </c>
      <c r="AH67" s="236"/>
      <c r="AI67" s="236"/>
      <c r="AJ67" s="237"/>
    </row>
    <row r="68" spans="1:38" ht="11.25" customHeight="1" thickBot="1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</row>
    <row r="69" spans="1:38" ht="15" customHeight="1" x14ac:dyDescent="0.2">
      <c r="A69" s="238" t="s">
        <v>129</v>
      </c>
      <c r="B69" s="238"/>
      <c r="C69" s="238"/>
      <c r="D69" s="238"/>
      <c r="E69" s="238"/>
      <c r="F69" s="238"/>
      <c r="G69" s="238"/>
      <c r="H69" s="238"/>
      <c r="I69" s="238"/>
      <c r="J69" s="238"/>
      <c r="K69" s="101"/>
      <c r="L69" s="180" t="str">
        <f>IF(Datos_Cliente!$C$15&lt;&gt;"",Datos_Cliente!$C$15,"NA")</f>
        <v>2025-0482-5</v>
      </c>
      <c r="M69" s="181"/>
      <c r="N69" s="181"/>
      <c r="O69" s="182"/>
      <c r="P69" s="94"/>
      <c r="Q69" s="180" t="str">
        <f>IF(Datos_Cliente!$C$16&lt;&gt;"",Datos_Cliente!$C$16,"NA")</f>
        <v>2025-0482-6</v>
      </c>
      <c r="R69" s="181"/>
      <c r="S69" s="181"/>
      <c r="T69" s="182"/>
      <c r="U69" s="94"/>
      <c r="V69" s="180" t="str">
        <f>IF(Datos_Cliente!$C$17&lt;&gt;"",Datos_Cliente!$C$17,"NA")</f>
        <v>NA</v>
      </c>
      <c r="W69" s="181"/>
      <c r="X69" s="181"/>
      <c r="Y69" s="182"/>
      <c r="Z69" s="94"/>
      <c r="AA69" s="180" t="str">
        <f>IF(Datos_Cliente!$C$18&lt;&gt;"",Datos_Cliente!$C$18,"NA")</f>
        <v>NA</v>
      </c>
      <c r="AB69" s="181"/>
      <c r="AC69" s="181"/>
      <c r="AD69" s="182"/>
      <c r="AE69" s="94"/>
      <c r="AF69" s="94"/>
      <c r="AG69" s="94"/>
      <c r="AH69" s="94"/>
      <c r="AI69" s="94"/>
      <c r="AJ69" s="94"/>
      <c r="AL69" s="67"/>
    </row>
    <row r="70" spans="1:38" ht="22.5" customHeight="1" thickBot="1" x14ac:dyDescent="0.25">
      <c r="A70" s="185" t="s">
        <v>130</v>
      </c>
      <c r="B70" s="185"/>
      <c r="C70" s="185"/>
      <c r="D70" s="185"/>
      <c r="E70" s="185"/>
      <c r="F70" s="185"/>
      <c r="G70" s="185"/>
      <c r="H70" s="185"/>
      <c r="I70" s="185"/>
      <c r="J70" s="185"/>
      <c r="K70" s="101"/>
      <c r="L70" s="346" t="str">
        <f>IF(Datos_Cliente!$B$15&lt;&gt;"",Datos_Cliente!$B$15,"NA")</f>
        <v xml:space="preserve">25 HAS 2015 NORTE </v>
      </c>
      <c r="M70" s="347"/>
      <c r="N70" s="347"/>
      <c r="O70" s="348"/>
      <c r="P70" s="94"/>
      <c r="Q70" s="346" t="str">
        <f>IF(Datos_Cliente!$B$16&lt;&gt;"",Datos_Cliente!$B$16,"NA")</f>
        <v>25 HAS 2015 SUR</v>
      </c>
      <c r="R70" s="347"/>
      <c r="S70" s="347"/>
      <c r="T70" s="348"/>
      <c r="U70" s="94"/>
      <c r="V70" s="141" t="str">
        <f>IF(Datos_Cliente!$B$17&lt;&gt;"",Datos_Cliente!$B$17,"NA")</f>
        <v>NA</v>
      </c>
      <c r="W70" s="139"/>
      <c r="X70" s="139"/>
      <c r="Y70" s="140"/>
      <c r="Z70" s="94"/>
      <c r="AA70" s="141" t="str">
        <f>IF(Datos_Cliente!$B$18&lt;&gt;"",Datos_Cliente!$B$18,"NA")</f>
        <v>NA</v>
      </c>
      <c r="AB70" s="139"/>
      <c r="AC70" s="139"/>
      <c r="AD70" s="140"/>
      <c r="AE70" s="94"/>
      <c r="AF70" s="94"/>
      <c r="AG70" s="94"/>
      <c r="AH70" s="94"/>
      <c r="AI70" s="94"/>
      <c r="AJ70" s="94"/>
      <c r="AL70" s="87"/>
    </row>
    <row r="71" spans="1:38" ht="15" customHeight="1" x14ac:dyDescent="0.2">
      <c r="A71" s="180" t="s">
        <v>131</v>
      </c>
      <c r="B71" s="181"/>
      <c r="C71" s="181"/>
      <c r="D71" s="181"/>
      <c r="E71" s="181"/>
      <c r="F71" s="187"/>
      <c r="G71" s="188" t="s">
        <v>132</v>
      </c>
      <c r="H71" s="181"/>
      <c r="I71" s="181"/>
      <c r="J71" s="182"/>
      <c r="K71" s="95"/>
      <c r="L71" s="189" t="s">
        <v>133</v>
      </c>
      <c r="M71" s="190"/>
      <c r="N71" s="190"/>
      <c r="O71" s="191"/>
      <c r="P71" s="94"/>
      <c r="Q71" s="189" t="s">
        <v>133</v>
      </c>
      <c r="R71" s="190"/>
      <c r="S71" s="190"/>
      <c r="T71" s="191"/>
      <c r="U71" s="94"/>
      <c r="V71" s="189" t="s">
        <v>133</v>
      </c>
      <c r="W71" s="190"/>
      <c r="X71" s="190"/>
      <c r="Y71" s="191"/>
      <c r="Z71" s="94"/>
      <c r="AA71" s="189" t="s">
        <v>133</v>
      </c>
      <c r="AB71" s="190"/>
      <c r="AC71" s="190"/>
      <c r="AD71" s="191"/>
      <c r="AE71" s="94"/>
      <c r="AF71" s="180" t="s">
        <v>134</v>
      </c>
      <c r="AG71" s="181"/>
      <c r="AH71" s="181"/>
      <c r="AI71" s="181"/>
      <c r="AJ71" s="182"/>
    </row>
    <row r="72" spans="1:38" ht="15" customHeight="1" x14ac:dyDescent="0.2">
      <c r="A72" s="145" t="s">
        <v>135</v>
      </c>
      <c r="B72" s="146"/>
      <c r="C72" s="146"/>
      <c r="D72" s="146"/>
      <c r="E72" s="146"/>
      <c r="F72" s="146"/>
      <c r="G72" s="148" t="s">
        <v>136</v>
      </c>
      <c r="H72" s="149"/>
      <c r="I72" s="149"/>
      <c r="J72" s="150"/>
      <c r="K72" s="94"/>
      <c r="L72" s="141">
        <f>IF(Lectura_Fert!L15&lt;&gt;"",(Lectura_Fert!L15*Lectura_Fert!$K$8*0.014*100)/Lectura_Fert!K15, "NA")</f>
        <v>2.59</v>
      </c>
      <c r="M72" s="139"/>
      <c r="N72" s="139"/>
      <c r="O72" s="140"/>
      <c r="P72" s="94"/>
      <c r="Q72" s="142">
        <f>IF(Lectura_Fert!L16&lt;&gt;"",(Lectura_Fert!L16*Lectura_Fert!$K$8*0.014*100)/Lectura_Fert!K16, "NA")</f>
        <v>2.4500000000000002</v>
      </c>
      <c r="R72" s="143"/>
      <c r="S72" s="143"/>
      <c r="T72" s="144"/>
      <c r="U72" s="94"/>
      <c r="V72" s="142" t="str">
        <f>IF(Lectura_Fert!L17&lt;&gt;"",(Lectura_Fert!L17*Lectura_Fert!$K$8*0.014*100)/Lectura_Fert!K17, "NA")</f>
        <v>NA</v>
      </c>
      <c r="W72" s="143"/>
      <c r="X72" s="143"/>
      <c r="Y72" s="144"/>
      <c r="Z72" s="94"/>
      <c r="AA72" s="142" t="str">
        <f>IF(Lectura_Fert!L18&lt;&gt;"",(Lectura_Fert!L18*Lectura_Fert!$K$8*0.014*100)/Lectura_Fert!K18, "NA")</f>
        <v>NA</v>
      </c>
      <c r="AB72" s="143"/>
      <c r="AC72" s="143"/>
      <c r="AD72" s="144"/>
      <c r="AE72" s="94"/>
      <c r="AF72" s="141">
        <f>VLOOKUP(Datos_Cliente!$G$16,CULTIVOS!$A$2:$W$127,2,0)</f>
        <v>2.7</v>
      </c>
      <c r="AG72" s="139"/>
      <c r="AH72" s="107" t="s">
        <v>137</v>
      </c>
      <c r="AI72" s="139">
        <f>VLOOKUP(Datos_Cliente!$G$16,CULTIVOS!$A$2:$W$127,3,0)</f>
        <v>3.5</v>
      </c>
      <c r="AJ72" s="140"/>
    </row>
    <row r="73" spans="1:38" ht="15" customHeight="1" x14ac:dyDescent="0.2">
      <c r="A73" s="145" t="s">
        <v>138</v>
      </c>
      <c r="B73" s="146"/>
      <c r="C73" s="146"/>
      <c r="D73" s="146"/>
      <c r="E73" s="146"/>
      <c r="F73" s="147"/>
      <c r="G73" s="148" t="s">
        <v>136</v>
      </c>
      <c r="H73" s="149"/>
      <c r="I73" s="149"/>
      <c r="J73" s="150"/>
      <c r="K73" s="94"/>
      <c r="L73" s="142">
        <f>IF(Lectura_Fert!R15&lt;&gt;"", Lectura_Fert!R15, "NA")</f>
        <v>2.4500000000000002</v>
      </c>
      <c r="M73" s="143"/>
      <c r="N73" s="143"/>
      <c r="O73" s="144"/>
      <c r="P73" s="94"/>
      <c r="Q73" s="142">
        <f>IF(Lectura_Fert!R16&lt;&gt;"", Lectura_Fert!R16, "NA")</f>
        <v>2.39</v>
      </c>
      <c r="R73" s="143"/>
      <c r="S73" s="143"/>
      <c r="T73" s="144"/>
      <c r="U73" s="94"/>
      <c r="V73" s="142" t="str">
        <f>IF(Lectura_Fert!R17&lt;&gt;"", Lectura_Fert!R17, "NA")</f>
        <v>NA</v>
      </c>
      <c r="W73" s="143"/>
      <c r="X73" s="143"/>
      <c r="Y73" s="144"/>
      <c r="Z73" s="94"/>
      <c r="AA73" s="142" t="str">
        <f>IF(Lectura_Fert!R18&lt;&gt;"", Lectura_Fert!R18, "NA")</f>
        <v>NA</v>
      </c>
      <c r="AB73" s="143"/>
      <c r="AC73" s="143"/>
      <c r="AD73" s="144"/>
      <c r="AE73" s="94"/>
      <c r="AF73" s="141">
        <f>VLOOKUP(Datos_Cliente!$G$16,CULTIVOS!$A$2:$W$127,4,0)</f>
        <v>1</v>
      </c>
      <c r="AG73" s="139"/>
      <c r="AH73" s="107" t="s">
        <v>137</v>
      </c>
      <c r="AI73" s="139">
        <f>VLOOKUP(Datos_Cliente!$G$16,CULTIVOS!$A$2:$W$127,5,0)</f>
        <v>1.75</v>
      </c>
      <c r="AJ73" s="140"/>
    </row>
    <row r="74" spans="1:38" ht="15" customHeight="1" x14ac:dyDescent="0.2">
      <c r="A74" s="145" t="s">
        <v>139</v>
      </c>
      <c r="B74" s="146"/>
      <c r="C74" s="146"/>
      <c r="D74" s="146"/>
      <c r="E74" s="146"/>
      <c r="F74" s="147"/>
      <c r="G74" s="148" t="s">
        <v>136</v>
      </c>
      <c r="H74" s="149"/>
      <c r="I74" s="149"/>
      <c r="J74" s="150"/>
      <c r="K74" s="94"/>
      <c r="L74" s="142">
        <f>IF(Lectura_Fert!S15&lt;&gt;"", Lectura_Fert!S15, "NA")</f>
        <v>0.56999999999999995</v>
      </c>
      <c r="M74" s="143"/>
      <c r="N74" s="143"/>
      <c r="O74" s="144"/>
      <c r="P74" s="94"/>
      <c r="Q74" s="142">
        <f>IF(Lectura_Fert!S16&lt;&gt;"", Lectura_Fert!S16, "NA")</f>
        <v>0.59</v>
      </c>
      <c r="R74" s="143"/>
      <c r="S74" s="143"/>
      <c r="T74" s="144"/>
      <c r="U74" s="94"/>
      <c r="V74" s="142" t="str">
        <f>IF(Lectura_Fert!S17&lt;&gt;"", Lectura_Fert!S17, "NA")</f>
        <v>NA</v>
      </c>
      <c r="W74" s="143"/>
      <c r="X74" s="143"/>
      <c r="Y74" s="144"/>
      <c r="Z74" s="94"/>
      <c r="AA74" s="142" t="str">
        <f>IF(Lectura_Fert!S18&lt;&gt;"", Lectura_Fert!S18, "NA")</f>
        <v>NA</v>
      </c>
      <c r="AB74" s="143"/>
      <c r="AC74" s="143"/>
      <c r="AD74" s="144"/>
      <c r="AE74" s="94"/>
      <c r="AF74" s="141">
        <f>VLOOKUP(Datos_Cliente!$G$16,CULTIVOS!$A$2:$W$127,6,0)</f>
        <v>0.3</v>
      </c>
      <c r="AG74" s="139"/>
      <c r="AH74" s="107" t="s">
        <v>137</v>
      </c>
      <c r="AI74" s="139">
        <f>VLOOKUP(Datos_Cliente!$G$16,CULTIVOS!$A$2:$W$127,7,0)</f>
        <v>0.6</v>
      </c>
      <c r="AJ74" s="140"/>
    </row>
    <row r="75" spans="1:38" ht="15" customHeight="1" x14ac:dyDescent="0.2">
      <c r="A75" s="145" t="s">
        <v>140</v>
      </c>
      <c r="B75" s="146"/>
      <c r="C75" s="146"/>
      <c r="D75" s="146"/>
      <c r="E75" s="146"/>
      <c r="F75" s="147"/>
      <c r="G75" s="148" t="s">
        <v>136</v>
      </c>
      <c r="H75" s="149"/>
      <c r="I75" s="149"/>
      <c r="J75" s="150"/>
      <c r="K75" s="94"/>
      <c r="L75" s="142">
        <f>IF(Lectura_Fert!Y15&lt;&gt;"", (((Lectura_Fert!Y15-Lectura_Fert!$Y$10)*Lectura_Fert!$T15*Lectura_Fert!$U15))/10000, "NA")</f>
        <v>0.76</v>
      </c>
      <c r="M75" s="143"/>
      <c r="N75" s="143"/>
      <c r="O75" s="144"/>
      <c r="P75" s="94"/>
      <c r="Q75" s="142">
        <f>IF(Lectura_Fert!Y16&lt;&gt;"", (((Lectura_Fert!Y16-Lectura_Fert!$Y$10)*Lectura_Fert!$T16*Lectura_Fert!$U16))/10000, "NA")</f>
        <v>0.7</v>
      </c>
      <c r="R75" s="143"/>
      <c r="S75" s="143"/>
      <c r="T75" s="144"/>
      <c r="U75" s="94"/>
      <c r="V75" s="142" t="str">
        <f>IF(Lectura_Fert!Y17&lt;&gt;"", (((Lectura_Fert!Y17-Lectura_Fert!$Y$10)*Lectura_Fert!$T17*Lectura_Fert!$U17))/10000, "NA")</f>
        <v>NA</v>
      </c>
      <c r="W75" s="143"/>
      <c r="X75" s="143"/>
      <c r="Y75" s="144"/>
      <c r="Z75" s="94"/>
      <c r="AA75" s="142" t="str">
        <f>IF(Lectura_Fert!Y18&lt;&gt;"", (((Lectura_Fert!Y18-Lectura_Fert!$Y$10)*Lectura_Fert!$T18*Lectura_Fert!$U18))/10000, "NA")</f>
        <v>NA</v>
      </c>
      <c r="AB75" s="143"/>
      <c r="AC75" s="143"/>
      <c r="AD75" s="144"/>
      <c r="AE75" s="94"/>
      <c r="AF75" s="141">
        <f>VLOOKUP(Datos_Cliente!$G$16,CULTIVOS!$A$2:$W$127,8,0)</f>
        <v>1.25</v>
      </c>
      <c r="AG75" s="139"/>
      <c r="AH75" s="107" t="s">
        <v>137</v>
      </c>
      <c r="AI75" s="139">
        <f>VLOOKUP(Datos_Cliente!$G$16,CULTIVOS!$A$2:$W$127,9,0)</f>
        <v>2.5</v>
      </c>
      <c r="AJ75" s="140"/>
    </row>
    <row r="76" spans="1:38" ht="15" customHeight="1" x14ac:dyDescent="0.2">
      <c r="A76" s="145" t="s">
        <v>141</v>
      </c>
      <c r="B76" s="146"/>
      <c r="C76" s="146"/>
      <c r="D76" s="146"/>
      <c r="E76" s="146"/>
      <c r="F76" s="147"/>
      <c r="G76" s="148" t="s">
        <v>136</v>
      </c>
      <c r="H76" s="149"/>
      <c r="I76" s="149"/>
      <c r="J76" s="150"/>
      <c r="K76" s="94"/>
      <c r="L76" s="142">
        <f>IF(Lectura_Fert!J15&lt;&gt;"", (VLOOKUP(Lectura_Fert!J15,P_Aprov!$A$2:$B$193,2)*(100/Lectura_Fert!H15)*(50/Lectura_Fert!I15))/10000, "NA")</f>
        <v>0.13448184807017413</v>
      </c>
      <c r="M76" s="143"/>
      <c r="N76" s="143"/>
      <c r="O76" s="144"/>
      <c r="P76" s="94"/>
      <c r="Q76" s="142">
        <f>IF(Lectura_Fert!J16&lt;&gt;"", (VLOOKUP(Lectura_Fert!J16,P_Aprov!$A$2:$B$193,2)*(100/Lectura_Fert!H16)*(50/Lectura_Fert!I16))/10000, "NA")</f>
        <v>0.12191059730744848</v>
      </c>
      <c r="R76" s="143"/>
      <c r="S76" s="143"/>
      <c r="T76" s="144"/>
      <c r="U76" s="94"/>
      <c r="V76" s="142" t="str">
        <f>IF(Lectura_Fert!J17&lt;&gt;"", (VLOOKUP(Lectura_Fert!J17,P_Aprov!$A$2:$B$193,2)*(100/Lectura_Fert!H17)*(50/Lectura_Fert!I17))/10000, "NA")</f>
        <v>NA</v>
      </c>
      <c r="W76" s="143"/>
      <c r="X76" s="143"/>
      <c r="Y76" s="144"/>
      <c r="Z76" s="94"/>
      <c r="AA76" s="142" t="str">
        <f>IF(Lectura_Fert!J18&lt;&gt;"", (VLOOKUP(Lectura_Fert!J18,P_Aprov!$A$2:$B$193,2)*(100/Lectura_Fert!H18)*(50/Lectura_Fert!I18))/10000, "NA")</f>
        <v>NA</v>
      </c>
      <c r="AB76" s="143"/>
      <c r="AC76" s="143"/>
      <c r="AD76" s="144"/>
      <c r="AE76" s="94"/>
      <c r="AF76" s="141">
        <f>VLOOKUP(Datos_Cliente!$G$16,CULTIVOS!$A$2:$W$127,10,0)</f>
        <v>0.14000000000000001</v>
      </c>
      <c r="AG76" s="139"/>
      <c r="AH76" s="107" t="s">
        <v>137</v>
      </c>
      <c r="AI76" s="139">
        <f>VLOOKUP(Datos_Cliente!$G$16,CULTIVOS!$A$2:$W$127,11,0)</f>
        <v>0.3</v>
      </c>
      <c r="AJ76" s="140"/>
    </row>
    <row r="77" spans="1:38" ht="15" customHeight="1" x14ac:dyDescent="0.2">
      <c r="A77" s="145" t="s">
        <v>290</v>
      </c>
      <c r="B77" s="146"/>
      <c r="C77" s="146"/>
      <c r="D77" s="146"/>
      <c r="E77" s="146"/>
      <c r="F77" s="147"/>
      <c r="G77" s="148" t="s">
        <v>142</v>
      </c>
      <c r="H77" s="149"/>
      <c r="I77" s="149"/>
      <c r="J77" s="150"/>
      <c r="K77" s="94"/>
      <c r="L77" s="142" t="str">
        <f>IF(Lectura_Fert!Q15&lt;&gt;"", VLOOKUP(Lectura_Fert!Q15,'N-NO3'!$A$2:$B$187,2)*(Lectura_Fert!N15/Lectura_Fert!M15)*(Lectura_Fert!P15/Lectura_Fert!O15), "NA")</f>
        <v>NA</v>
      </c>
      <c r="M77" s="143"/>
      <c r="N77" s="143"/>
      <c r="O77" s="144"/>
      <c r="P77" s="94"/>
      <c r="Q77" s="142" t="str">
        <f>IF(Lectura_Fert!Q16&lt;&gt;"", VLOOKUP(Lectura_Fert!Q16,'N-NO3'!$A$2:$B$187,2)*(Lectura_Fert!N16/Lectura_Fert!M16)*(Lectura_Fert!P16/Lectura_Fert!O16), "NA")</f>
        <v>NA</v>
      </c>
      <c r="R77" s="143"/>
      <c r="S77" s="143"/>
      <c r="T77" s="144"/>
      <c r="U77" s="94"/>
      <c r="V77" s="142" t="str">
        <f>IF(Lectura_Fert!Q17&lt;&gt;"", VLOOKUP(Lectura_Fert!Q17,'N-NO3'!$A$2:$B$187,2)*(Lectura_Fert!N17/Lectura_Fert!M17)*(Lectura_Fert!P17/Lectura_Fert!O17), "NA")</f>
        <v>NA</v>
      </c>
      <c r="W77" s="143"/>
      <c r="X77" s="143"/>
      <c r="Y77" s="144"/>
      <c r="Z77" s="94"/>
      <c r="AA77" s="142" t="str">
        <f>IF(Lectura_Fert!Q18&lt;&gt;"", VLOOKUP(Lectura_Fert!Q18,'N-NO3'!$A$2:$B$187,2)*(Lectura_Fert!N18/Lectura_Fert!M18)*(Lectura_Fert!P18/Lectura_Fert!O18), "NA")</f>
        <v>NA</v>
      </c>
      <c r="AB77" s="143"/>
      <c r="AC77" s="143"/>
      <c r="AD77" s="144"/>
      <c r="AE77" s="94"/>
      <c r="AF77" s="141">
        <f>VLOOKUP(Datos_Cliente!$G$16,CULTIVOS!$A$2:$W$127,12,0)</f>
        <v>0</v>
      </c>
      <c r="AG77" s="139"/>
      <c r="AH77" s="107" t="s">
        <v>137</v>
      </c>
      <c r="AI77" s="139">
        <f>VLOOKUP(Datos_Cliente!$G$16,CULTIVOS!$A$2:$W$127,13,0)</f>
        <v>0</v>
      </c>
      <c r="AJ77" s="140"/>
    </row>
    <row r="78" spans="1:38" ht="15" customHeight="1" x14ac:dyDescent="0.2">
      <c r="A78" s="189" t="s">
        <v>143</v>
      </c>
      <c r="B78" s="190"/>
      <c r="C78" s="190"/>
      <c r="D78" s="190"/>
      <c r="E78" s="190"/>
      <c r="F78" s="235"/>
      <c r="G78" s="234" t="s">
        <v>132</v>
      </c>
      <c r="H78" s="190"/>
      <c r="I78" s="190"/>
      <c r="J78" s="191"/>
      <c r="K78" s="94"/>
      <c r="L78" s="189" t="s">
        <v>133</v>
      </c>
      <c r="M78" s="190"/>
      <c r="N78" s="190"/>
      <c r="O78" s="191"/>
      <c r="P78" s="94"/>
      <c r="Q78" s="189" t="s">
        <v>133</v>
      </c>
      <c r="R78" s="190"/>
      <c r="S78" s="190"/>
      <c r="T78" s="191"/>
      <c r="U78" s="94"/>
      <c r="V78" s="189" t="s">
        <v>133</v>
      </c>
      <c r="W78" s="190"/>
      <c r="X78" s="190"/>
      <c r="Y78" s="191"/>
      <c r="Z78" s="94"/>
      <c r="AA78" s="189" t="s">
        <v>133</v>
      </c>
      <c r="AB78" s="190"/>
      <c r="AC78" s="190"/>
      <c r="AD78" s="191"/>
      <c r="AE78" s="94"/>
      <c r="AF78" s="141"/>
      <c r="AG78" s="139"/>
      <c r="AH78" s="107"/>
      <c r="AI78" s="139"/>
      <c r="AJ78" s="140"/>
    </row>
    <row r="79" spans="1:38" ht="15" customHeight="1" x14ac:dyDescent="0.2">
      <c r="A79" s="145" t="s">
        <v>144</v>
      </c>
      <c r="B79" s="146"/>
      <c r="C79" s="146"/>
      <c r="D79" s="146"/>
      <c r="E79" s="146"/>
      <c r="F79" s="147"/>
      <c r="G79" s="148" t="s">
        <v>142</v>
      </c>
      <c r="H79" s="149"/>
      <c r="I79" s="149"/>
      <c r="J79" s="150"/>
      <c r="K79" s="94"/>
      <c r="L79" s="142">
        <f>IF(Lectura_Fert!E15&lt;&gt;"", Lectura_Fert!E15, "NA")</f>
        <v>160.88999999999999</v>
      </c>
      <c r="M79" s="143"/>
      <c r="N79" s="143"/>
      <c r="O79" s="144"/>
      <c r="P79" s="94"/>
      <c r="Q79" s="142">
        <f>IF(Lectura_Fert!E16&lt;&gt;"", Lectura_Fert!E16, "NA")</f>
        <v>125.92</v>
      </c>
      <c r="R79" s="143"/>
      <c r="S79" s="143"/>
      <c r="T79" s="144"/>
      <c r="U79" s="94"/>
      <c r="V79" s="142" t="str">
        <f>IF(Lectura_Fert!E17&lt;&gt;"", Lectura_Fert!E17, "NA")</f>
        <v>NA</v>
      </c>
      <c r="W79" s="143"/>
      <c r="X79" s="143"/>
      <c r="Y79" s="144"/>
      <c r="Z79" s="94"/>
      <c r="AA79" s="142" t="str">
        <f>IF(Lectura_Fert!E18&lt;&gt;"", Lectura_Fert!E18, "NA")</f>
        <v>NA</v>
      </c>
      <c r="AB79" s="143"/>
      <c r="AC79" s="143"/>
      <c r="AD79" s="144"/>
      <c r="AE79" s="94"/>
      <c r="AF79" s="141">
        <f>VLOOKUP(Datos_Cliente!$G$16,CULTIVOS!$A$2:$W$127,14,0)</f>
        <v>50</v>
      </c>
      <c r="AG79" s="139"/>
      <c r="AH79" s="98" t="s">
        <v>137</v>
      </c>
      <c r="AI79" s="139">
        <f>VLOOKUP(Datos_Cliente!$G$16,CULTIVOS!$A$2:$W$127,15,0)</f>
        <v>300</v>
      </c>
      <c r="AJ79" s="140"/>
    </row>
    <row r="80" spans="1:38" ht="15" customHeight="1" x14ac:dyDescent="0.2">
      <c r="A80" s="145" t="s">
        <v>145</v>
      </c>
      <c r="B80" s="146"/>
      <c r="C80" s="146"/>
      <c r="D80" s="146"/>
      <c r="E80" s="146"/>
      <c r="F80" s="147"/>
      <c r="G80" s="148" t="s">
        <v>142</v>
      </c>
      <c r="H80" s="149"/>
      <c r="I80" s="149"/>
      <c r="J80" s="150"/>
      <c r="K80" s="94"/>
      <c r="L80" s="142">
        <f>IF(Lectura_Fert!D15&lt;&gt;"", Lectura_Fert!D15, "NA")</f>
        <v>620.44000000000005</v>
      </c>
      <c r="M80" s="143"/>
      <c r="N80" s="143"/>
      <c r="O80" s="144"/>
      <c r="P80" s="94"/>
      <c r="Q80" s="142">
        <f>IF(Lectura_Fert!D16&lt;&gt;"", Lectura_Fert!D16, "NA")</f>
        <v>554.73</v>
      </c>
      <c r="R80" s="143"/>
      <c r="S80" s="143"/>
      <c r="T80" s="144"/>
      <c r="U80" s="94"/>
      <c r="V80" s="142" t="str">
        <f>IF(Lectura_Fert!D17&lt;&gt;"", Lectura_Fert!D17, "NA")</f>
        <v>NA</v>
      </c>
      <c r="W80" s="143"/>
      <c r="X80" s="143"/>
      <c r="Y80" s="144"/>
      <c r="Z80" s="94"/>
      <c r="AA80" s="142" t="str">
        <f>IF(Lectura_Fert!D18&lt;&gt;"", Lectura_Fert!D18, "NA")</f>
        <v>NA</v>
      </c>
      <c r="AB80" s="143"/>
      <c r="AC80" s="143"/>
      <c r="AD80" s="144"/>
      <c r="AE80" s="94"/>
      <c r="AF80" s="141">
        <f>VLOOKUP(Datos_Cliente!$G$16,CULTIVOS!$A$2:$W$127,16,0)</f>
        <v>80</v>
      </c>
      <c r="AG80" s="139"/>
      <c r="AH80" s="107" t="s">
        <v>137</v>
      </c>
      <c r="AI80" s="139">
        <f>VLOOKUP(Datos_Cliente!$G$16,CULTIVOS!$A$2:$W$127,17,0)</f>
        <v>300</v>
      </c>
      <c r="AJ80" s="140"/>
    </row>
    <row r="81" spans="1:36" ht="15" customHeight="1" x14ac:dyDescent="0.2">
      <c r="A81" s="145" t="s">
        <v>146</v>
      </c>
      <c r="B81" s="146"/>
      <c r="C81" s="146"/>
      <c r="D81" s="146"/>
      <c r="E81" s="146"/>
      <c r="F81" s="147"/>
      <c r="G81" s="148" t="s">
        <v>142</v>
      </c>
      <c r="H81" s="149"/>
      <c r="I81" s="149"/>
      <c r="J81" s="150"/>
      <c r="K81" s="94"/>
      <c r="L81" s="142">
        <f>IF(Lectura_Fert!F15&lt;&gt;"", Lectura_Fert!F15, "NA")</f>
        <v>116.32</v>
      </c>
      <c r="M81" s="143"/>
      <c r="N81" s="143"/>
      <c r="O81" s="144"/>
      <c r="P81" s="94"/>
      <c r="Q81" s="142">
        <f>IF(Lectura_Fert!F16&lt;&gt;"", Lectura_Fert!F16, "NA")</f>
        <v>109.57</v>
      </c>
      <c r="R81" s="143"/>
      <c r="S81" s="143"/>
      <c r="T81" s="144"/>
      <c r="U81" s="94"/>
      <c r="V81" s="142" t="str">
        <f>IF(Lectura_Fert!F17&lt;&gt;"", Lectura_Fert!F17, "NA")</f>
        <v>NA</v>
      </c>
      <c r="W81" s="143"/>
      <c r="X81" s="143"/>
      <c r="Y81" s="144"/>
      <c r="Z81" s="94"/>
      <c r="AA81" s="142" t="str">
        <f>IF(Lectura_Fert!F18&lt;&gt;"", Lectura_Fert!F18, "NA")</f>
        <v>NA</v>
      </c>
      <c r="AB81" s="143"/>
      <c r="AC81" s="143"/>
      <c r="AD81" s="144"/>
      <c r="AE81" s="94"/>
      <c r="AF81" s="141">
        <f>VLOOKUP(Datos_Cliente!$G$16,CULTIVOS!$A$2:$W$127,18,0)</f>
        <v>50</v>
      </c>
      <c r="AG81" s="139"/>
      <c r="AH81" s="107" t="s">
        <v>137</v>
      </c>
      <c r="AI81" s="139">
        <f>VLOOKUP(Datos_Cliente!$G$16,CULTIVOS!$A$2:$W$127,19,0)</f>
        <v>100</v>
      </c>
      <c r="AJ81" s="140"/>
    </row>
    <row r="82" spans="1:36" ht="15" customHeight="1" x14ac:dyDescent="0.2">
      <c r="A82" s="145" t="s">
        <v>147</v>
      </c>
      <c r="B82" s="146"/>
      <c r="C82" s="146"/>
      <c r="D82" s="146"/>
      <c r="E82" s="146"/>
      <c r="F82" s="147"/>
      <c r="G82" s="148" t="s">
        <v>142</v>
      </c>
      <c r="H82" s="149"/>
      <c r="I82" s="149"/>
      <c r="J82" s="150"/>
      <c r="K82" s="94"/>
      <c r="L82" s="142">
        <f>IF(Lectura_Fert!C15&lt;&gt;"", Lectura_Fert!C15, "NA")</f>
        <v>4.3099999999999996</v>
      </c>
      <c r="M82" s="143"/>
      <c r="N82" s="143"/>
      <c r="O82" s="144"/>
      <c r="P82" s="94"/>
      <c r="Q82" s="142">
        <f>IF(Lectura_Fert!C16&lt;&gt;"", Lectura_Fert!C16, "NA")</f>
        <v>7.65</v>
      </c>
      <c r="R82" s="143"/>
      <c r="S82" s="143"/>
      <c r="T82" s="144"/>
      <c r="U82" s="94"/>
      <c r="V82" s="142" t="str">
        <f>IF(Lectura_Fert!C17&lt;&gt;"", Lectura_Fert!C17, "NA")</f>
        <v>NA</v>
      </c>
      <c r="W82" s="143"/>
      <c r="X82" s="143"/>
      <c r="Y82" s="144"/>
      <c r="Z82" s="94"/>
      <c r="AA82" s="142" t="str">
        <f>IF(Lectura_Fert!C18&lt;&gt;"", Lectura_Fert!C18, "NA")</f>
        <v>NA</v>
      </c>
      <c r="AB82" s="143"/>
      <c r="AC82" s="143"/>
      <c r="AD82" s="144"/>
      <c r="AE82" s="94"/>
      <c r="AF82" s="141">
        <f>VLOOKUP(Datos_Cliente!$G$16,CULTIVOS!$A$2:$W$127,20,0)</f>
        <v>6</v>
      </c>
      <c r="AG82" s="139"/>
      <c r="AH82" s="107" t="s">
        <v>137</v>
      </c>
      <c r="AI82" s="139">
        <f>VLOOKUP(Datos_Cliente!$G$16,CULTIVOS!$A$2:$W$127,21,0)</f>
        <v>30</v>
      </c>
      <c r="AJ82" s="140"/>
    </row>
    <row r="83" spans="1:36" ht="15" customHeight="1" thickBot="1" x14ac:dyDescent="0.25">
      <c r="A83" s="231" t="s">
        <v>148</v>
      </c>
      <c r="B83" s="232"/>
      <c r="C83" s="232"/>
      <c r="D83" s="232"/>
      <c r="E83" s="232"/>
      <c r="F83" s="233"/>
      <c r="G83" s="228" t="s">
        <v>142</v>
      </c>
      <c r="H83" s="229"/>
      <c r="I83" s="229"/>
      <c r="J83" s="230"/>
      <c r="K83" s="94"/>
      <c r="L83" s="211">
        <f>IF(Lectura_Fert!G15&lt;&gt;"", VLOOKUP(Lectura_Fert!G15,Boro!$A$2:$C$194,3)*400, "NA")</f>
        <v>161.24926728131786</v>
      </c>
      <c r="M83" s="212"/>
      <c r="N83" s="212"/>
      <c r="O83" s="213"/>
      <c r="P83" s="94"/>
      <c r="Q83" s="211">
        <f>IF(Lectura_Fert!G16&lt;&gt;"", VLOOKUP(Lectura_Fert!G16,Boro!$A$2:$C$194,3)*400, "NA")</f>
        <v>148.89531760864841</v>
      </c>
      <c r="R83" s="212"/>
      <c r="S83" s="212"/>
      <c r="T83" s="213"/>
      <c r="U83" s="94"/>
      <c r="V83" s="211" t="str">
        <f>IF(Lectura_Fert!G17&lt;&gt;"", VLOOKUP(Lectura_Fert!G17,Boro!$A$2:$C$194,3)*400, "NA")</f>
        <v>NA</v>
      </c>
      <c r="W83" s="212"/>
      <c r="X83" s="212"/>
      <c r="Y83" s="213"/>
      <c r="Z83" s="94"/>
      <c r="AA83" s="211" t="str">
        <f>IF(Lectura_Fert!G18&lt;&gt;"", VLOOKUP(Lectura_Fert!G18,Boro!$A$2:$C$194,3)*400, "NA")</f>
        <v>NA</v>
      </c>
      <c r="AB83" s="212"/>
      <c r="AC83" s="212"/>
      <c r="AD83" s="213"/>
      <c r="AE83" s="94"/>
      <c r="AF83" s="210">
        <f>VLOOKUP(Datos_Cliente!$G$16,CULTIVOS!$A$2:$W$127,22,0)</f>
        <v>15</v>
      </c>
      <c r="AG83" s="208"/>
      <c r="AH83" s="108" t="s">
        <v>137</v>
      </c>
      <c r="AI83" s="208">
        <f>VLOOKUP(Datos_Cliente!$G$16,CULTIVOS!$A$2:$W$127,23,0)</f>
        <v>50</v>
      </c>
      <c r="AJ83" s="209"/>
    </row>
    <row r="84" spans="1:36" ht="14.1" customHeight="1" x14ac:dyDescent="0.2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</row>
    <row r="85" spans="1:36" ht="14.1" customHeight="1" x14ac:dyDescent="0.2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</row>
    <row r="86" spans="1:36" ht="14.1" customHeight="1" thickBot="1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</row>
    <row r="87" spans="1:36" ht="14.1" customHeight="1" thickBot="1" x14ac:dyDescent="0.25">
      <c r="A87" s="225" t="s">
        <v>149</v>
      </c>
      <c r="B87" s="226"/>
      <c r="C87" s="226"/>
      <c r="D87" s="226"/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7"/>
    </row>
    <row r="88" spans="1:36" ht="14.1" customHeight="1" x14ac:dyDescent="0.2">
      <c r="A88" s="104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6"/>
    </row>
    <row r="89" spans="1:36" ht="14.1" customHeight="1" x14ac:dyDescent="0.2">
      <c r="A89" s="202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4"/>
    </row>
    <row r="90" spans="1:36" ht="14.1" customHeight="1" x14ac:dyDescent="0.2">
      <c r="A90" s="202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4"/>
    </row>
    <row r="91" spans="1:36" ht="14.1" customHeight="1" x14ac:dyDescent="0.2">
      <c r="A91" s="202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4"/>
    </row>
    <row r="92" spans="1:36" ht="14.1" customHeight="1" x14ac:dyDescent="0.2">
      <c r="A92" s="202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4"/>
    </row>
    <row r="93" spans="1:36" ht="14.1" customHeight="1" x14ac:dyDescent="0.2">
      <c r="A93" s="202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4"/>
    </row>
    <row r="94" spans="1:36" ht="14.1" customHeight="1" x14ac:dyDescent="0.2">
      <c r="A94" s="202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4"/>
    </row>
    <row r="95" spans="1:36" ht="14.1" customHeight="1" x14ac:dyDescent="0.2">
      <c r="A95" s="202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4"/>
    </row>
    <row r="96" spans="1:36" ht="14.1" customHeight="1" x14ac:dyDescent="0.2">
      <c r="A96" s="202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4"/>
    </row>
    <row r="97" spans="1:36" ht="14.1" customHeight="1" x14ac:dyDescent="0.2">
      <c r="A97" s="202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4"/>
    </row>
    <row r="98" spans="1:36" ht="14.1" customHeight="1" x14ac:dyDescent="0.2">
      <c r="A98" s="202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4"/>
    </row>
    <row r="99" spans="1:36" ht="14.1" customHeight="1" x14ac:dyDescent="0.2">
      <c r="A99" s="202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4"/>
    </row>
    <row r="100" spans="1:36" ht="14.1" customHeight="1" x14ac:dyDescent="0.2">
      <c r="A100" s="202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4"/>
    </row>
    <row r="101" spans="1:36" ht="14.1" customHeight="1" x14ac:dyDescent="0.2">
      <c r="A101" s="202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4"/>
    </row>
    <row r="102" spans="1:36" ht="14.1" customHeight="1" x14ac:dyDescent="0.2">
      <c r="A102" s="202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4"/>
    </row>
    <row r="103" spans="1:36" ht="14.1" customHeight="1" thickBot="1" x14ac:dyDescent="0.25">
      <c r="A103" s="205"/>
      <c r="B103" s="206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  <c r="AE103" s="206"/>
      <c r="AF103" s="206"/>
      <c r="AG103" s="206"/>
      <c r="AH103" s="206"/>
      <c r="AI103" s="206"/>
      <c r="AJ103" s="207"/>
    </row>
    <row r="104" spans="1:36" ht="14.1" customHeight="1" x14ac:dyDescent="0.2">
      <c r="A104" s="137" t="s">
        <v>291</v>
      </c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</row>
    <row r="105" spans="1:36" ht="14.1" customHeight="1" x14ac:dyDescent="0.2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</row>
    <row r="106" spans="1:36" ht="14.1" customHeight="1" x14ac:dyDescent="0.2"/>
    <row r="107" spans="1:36" ht="14.1" customHeight="1" x14ac:dyDescent="0.2"/>
    <row r="108" spans="1:36" ht="15" customHeight="1" thickBot="1" x14ac:dyDescent="0.25"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</row>
    <row r="109" spans="1:36" ht="15" customHeight="1" x14ac:dyDescent="0.2">
      <c r="N109" s="275" t="s">
        <v>150</v>
      </c>
      <c r="O109" s="275"/>
      <c r="P109" s="275"/>
      <c r="Q109" s="275"/>
      <c r="R109" s="275"/>
      <c r="S109" s="275"/>
      <c r="T109" s="275"/>
      <c r="U109" s="275"/>
      <c r="V109" s="275"/>
      <c r="W109" s="275"/>
    </row>
    <row r="110" spans="1:36" ht="15" customHeight="1" x14ac:dyDescent="0.2">
      <c r="N110" s="82"/>
      <c r="O110" s="82"/>
      <c r="P110" s="82"/>
      <c r="Q110" s="82"/>
      <c r="R110" s="82"/>
      <c r="S110" s="82"/>
      <c r="T110" s="82"/>
      <c r="U110" s="82"/>
      <c r="V110" s="82"/>
      <c r="W110" s="82"/>
    </row>
    <row r="111" spans="1:36" ht="15" customHeight="1" thickBot="1" x14ac:dyDescent="0.25"/>
    <row r="112" spans="1:36" ht="11.25" customHeight="1" x14ac:dyDescent="0.2">
      <c r="A112" s="192"/>
      <c r="B112" s="193"/>
      <c r="C112" s="193"/>
      <c r="D112" s="193"/>
      <c r="E112" s="193"/>
      <c r="F112" s="193"/>
      <c r="G112" s="193"/>
      <c r="H112" s="193"/>
      <c r="I112" s="198" t="s">
        <v>109</v>
      </c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218" t="s">
        <v>110</v>
      </c>
      <c r="AE112" s="218"/>
      <c r="AF112" s="218"/>
      <c r="AG112" s="219" t="s">
        <v>284</v>
      </c>
      <c r="AH112" s="219"/>
      <c r="AI112" s="109">
        <f>ROUNDUP(Datos_Cliente!$C$8/4,0)</f>
        <v>2</v>
      </c>
      <c r="AJ112" s="100"/>
    </row>
    <row r="113" spans="1:36" ht="11.25" customHeight="1" x14ac:dyDescent="0.2">
      <c r="A113" s="194"/>
      <c r="B113" s="195"/>
      <c r="C113" s="195"/>
      <c r="D113" s="195"/>
      <c r="E113" s="195"/>
      <c r="F113" s="195"/>
      <c r="G113" s="195"/>
      <c r="H113" s="195"/>
      <c r="I113" s="220" t="s">
        <v>112</v>
      </c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159" t="s">
        <v>114</v>
      </c>
      <c r="AE113" s="159"/>
      <c r="AF113" s="159"/>
      <c r="AG113" s="222">
        <f>IF(Datos_Cliente!$G$15&lt;&gt;"", Datos_Cliente!$G$15,"NA")</f>
        <v>45926</v>
      </c>
      <c r="AH113" s="222"/>
      <c r="AI113" s="222"/>
      <c r="AJ113" s="223"/>
    </row>
    <row r="114" spans="1:36" ht="11.25" customHeight="1" x14ac:dyDescent="0.2">
      <c r="A114" s="194"/>
      <c r="B114" s="195"/>
      <c r="C114" s="195"/>
      <c r="D114" s="195"/>
      <c r="E114" s="195"/>
      <c r="F114" s="195"/>
      <c r="G114" s="195"/>
      <c r="H114" s="195"/>
      <c r="I114" s="220" t="s">
        <v>113</v>
      </c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159" t="s">
        <v>117</v>
      </c>
      <c r="AE114" s="159"/>
      <c r="AF114" s="159"/>
      <c r="AG114" s="159"/>
      <c r="AH114" s="161" t="str">
        <f>IF(Datos_Cliente!$G$4&lt;&gt;"", Datos_Cliente!$G$4,"NA")</f>
        <v>0034</v>
      </c>
      <c r="AI114" s="161"/>
      <c r="AJ114" s="162"/>
    </row>
    <row r="115" spans="1:36" ht="11.25" customHeight="1" x14ac:dyDescent="0.2">
      <c r="A115" s="194"/>
      <c r="B115" s="195"/>
      <c r="C115" s="195"/>
      <c r="D115" s="195"/>
      <c r="E115" s="195"/>
      <c r="F115" s="195"/>
      <c r="G115" s="195"/>
      <c r="H115" s="195"/>
      <c r="I115" s="221" t="s">
        <v>115</v>
      </c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159"/>
      <c r="AE115" s="159"/>
      <c r="AF115" s="159"/>
      <c r="AG115" s="159"/>
      <c r="AH115" s="161"/>
      <c r="AI115" s="161"/>
      <c r="AJ115" s="162"/>
    </row>
    <row r="116" spans="1:36" ht="11.25" customHeight="1" x14ac:dyDescent="0.2">
      <c r="A116" s="194"/>
      <c r="B116" s="195"/>
      <c r="C116" s="195"/>
      <c r="D116" s="195"/>
      <c r="E116" s="195"/>
      <c r="F116" s="195"/>
      <c r="G116" s="195"/>
      <c r="H116" s="195"/>
      <c r="I116" s="221" t="s">
        <v>116</v>
      </c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159" t="s">
        <v>282</v>
      </c>
      <c r="AE116" s="159"/>
      <c r="AF116" s="159"/>
      <c r="AG116" s="159"/>
      <c r="AH116" s="161" t="str">
        <f>IF(Datos_Cliente!$C$4&lt;&gt;"", Datos_Cliente!$C$4,"NA")</f>
        <v>2025-0482</v>
      </c>
      <c r="AI116" s="161"/>
      <c r="AJ116" s="162"/>
    </row>
    <row r="117" spans="1:36" ht="11.25" customHeight="1" thickBot="1" x14ac:dyDescent="0.25">
      <c r="A117" s="196"/>
      <c r="B117" s="197"/>
      <c r="C117" s="197"/>
      <c r="D117" s="197"/>
      <c r="E117" s="197"/>
      <c r="F117" s="197"/>
      <c r="G117" s="197"/>
      <c r="H117" s="197"/>
      <c r="I117" s="224" t="s">
        <v>118</v>
      </c>
      <c r="J117" s="224"/>
      <c r="K117" s="224"/>
      <c r="L117" s="224"/>
      <c r="M117" s="224"/>
      <c r="N117" s="224"/>
      <c r="O117" s="224"/>
      <c r="P117" s="224"/>
      <c r="Q117" s="224"/>
      <c r="R117" s="224"/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160"/>
      <c r="AE117" s="160"/>
      <c r="AF117" s="160"/>
      <c r="AG117" s="160"/>
      <c r="AH117" s="163"/>
      <c r="AI117" s="163"/>
      <c r="AJ117" s="164"/>
    </row>
    <row r="118" spans="1:36" ht="11.25" customHeight="1" x14ac:dyDescent="0.3">
      <c r="A118" s="4"/>
      <c r="B118" s="4"/>
      <c r="C118" s="4"/>
      <c r="D118" s="4"/>
      <c r="E118" s="4"/>
      <c r="F118" s="4"/>
      <c r="G118" s="4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5"/>
      <c r="T118" s="5"/>
      <c r="U118" s="6"/>
      <c r="V118" s="6"/>
      <c r="W118" s="6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 spans="1:36" ht="11.25" customHeight="1" x14ac:dyDescent="0.2">
      <c r="A119" s="217" t="s">
        <v>119</v>
      </c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</row>
    <row r="120" spans="1:36" ht="11.25" customHeight="1" thickBot="1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</row>
    <row r="121" spans="1:36" ht="14.1" customHeight="1" x14ac:dyDescent="0.2">
      <c r="A121" s="158" t="s">
        <v>120</v>
      </c>
      <c r="B121" s="152"/>
      <c r="C121" s="152"/>
      <c r="D121" s="152"/>
      <c r="E121" s="151" t="str">
        <f>IF(Datos_Cliente!$C$6&lt;&gt;"", Datos_Cliente!$C$6,"NA")</f>
        <v xml:space="preserve">EL CAUDILLO </v>
      </c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2" t="s">
        <v>121</v>
      </c>
      <c r="R121" s="152"/>
      <c r="S121" s="152"/>
      <c r="T121" s="151" t="str">
        <f>IF(Datos_Cliente!$G$6&lt;&gt;"", Datos_Cliente!$G$6,"NA")</f>
        <v>BLOCK 905</v>
      </c>
      <c r="U121" s="151"/>
      <c r="V121" s="151"/>
      <c r="W121" s="151"/>
      <c r="X121" s="151"/>
      <c r="Y121" s="151"/>
      <c r="Z121" s="151"/>
      <c r="AA121" s="152" t="s">
        <v>122</v>
      </c>
      <c r="AB121" s="152"/>
      <c r="AC121" s="152"/>
      <c r="AD121" s="152"/>
      <c r="AE121" s="152"/>
      <c r="AF121" s="152"/>
      <c r="AG121" s="151" t="str">
        <f>IF(Datos_Cliente!$G$7&lt;&gt;"", Datos_Cliente!$G$7,"NA")</f>
        <v xml:space="preserve">NOGAL </v>
      </c>
      <c r="AH121" s="151"/>
      <c r="AI121" s="151"/>
      <c r="AJ121" s="153"/>
    </row>
    <row r="122" spans="1:36" ht="14.1" customHeight="1" x14ac:dyDescent="0.2">
      <c r="A122" s="154" t="s">
        <v>123</v>
      </c>
      <c r="B122" s="155"/>
      <c r="C122" s="155"/>
      <c r="D122" s="155"/>
      <c r="E122" s="156" t="str">
        <f>IF(Datos_Cliente!$C$7&lt;&gt;"", Datos_Cliente!$C$7,"NA")</f>
        <v xml:space="preserve">EL CAUDILLO </v>
      </c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5" t="s">
        <v>124</v>
      </c>
      <c r="R122" s="155"/>
      <c r="S122" s="155"/>
      <c r="T122" s="156" t="str">
        <f>IF(Datos_Cliente!$G$11&lt;&gt;"", Datos_Cliente!$G$11,"NA")</f>
        <v xml:space="preserve">GOTEO </v>
      </c>
      <c r="U122" s="156"/>
      <c r="V122" s="156"/>
      <c r="W122" s="156"/>
      <c r="X122" s="156"/>
      <c r="Y122" s="156"/>
      <c r="Z122" s="156"/>
      <c r="AA122" s="155" t="s">
        <v>125</v>
      </c>
      <c r="AB122" s="155"/>
      <c r="AC122" s="155"/>
      <c r="AD122" s="155"/>
      <c r="AE122" s="155"/>
      <c r="AF122" s="155"/>
      <c r="AG122" s="156" t="str">
        <f>IF(Datos_Cliente!$G$8&lt;&gt;"", Datos_Cliente!$G$8,"NA")</f>
        <v xml:space="preserve">NOGAL </v>
      </c>
      <c r="AH122" s="156"/>
      <c r="AI122" s="156"/>
      <c r="AJ122" s="157"/>
    </row>
    <row r="123" spans="1:36" ht="14.1" customHeight="1" thickBot="1" x14ac:dyDescent="0.25">
      <c r="A123" s="183" t="s">
        <v>126</v>
      </c>
      <c r="B123" s="184"/>
      <c r="C123" s="184"/>
      <c r="D123" s="184"/>
      <c r="E123" s="186" t="str">
        <f>IF(Datos_Cliente!$G$5&lt;&gt;"", Datos_Cliente!$G$5,"NA")</f>
        <v xml:space="preserve">BACUM, SON. 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4" t="s">
        <v>127</v>
      </c>
      <c r="R123" s="184"/>
      <c r="S123" s="184"/>
      <c r="T123" s="186" t="str">
        <f>IF(Datos_Cliente!$G$9&lt;&gt;"", Datos_Cliente!$G$9,"NA")</f>
        <v xml:space="preserve">COSECHA </v>
      </c>
      <c r="U123" s="186"/>
      <c r="V123" s="186"/>
      <c r="W123" s="186"/>
      <c r="X123" s="186"/>
      <c r="Y123" s="186"/>
      <c r="Z123" s="186"/>
      <c r="AA123" s="184" t="s">
        <v>128</v>
      </c>
      <c r="AB123" s="184"/>
      <c r="AC123" s="184"/>
      <c r="AD123" s="184"/>
      <c r="AE123" s="184"/>
      <c r="AF123" s="184"/>
      <c r="AG123" s="236">
        <f>IF(Datos_Cliente!$C$5&lt;&gt;"", Datos_Cliente!$C$5,"NA")</f>
        <v>45922</v>
      </c>
      <c r="AH123" s="236"/>
      <c r="AI123" s="236"/>
      <c r="AJ123" s="237"/>
    </row>
    <row r="124" spans="1:36" ht="11.25" customHeight="1" thickBot="1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</row>
    <row r="125" spans="1:36" ht="15" customHeight="1" x14ac:dyDescent="0.2">
      <c r="A125" s="238" t="s">
        <v>129</v>
      </c>
      <c r="B125" s="238"/>
      <c r="C125" s="238"/>
      <c r="D125" s="238"/>
      <c r="E125" s="238"/>
      <c r="F125" s="238"/>
      <c r="G125" s="238"/>
      <c r="H125" s="238"/>
      <c r="I125" s="238"/>
      <c r="J125" s="238"/>
      <c r="K125" s="101"/>
      <c r="L125" s="180" t="str">
        <f>IF(Datos_Cliente!$C$19&lt;&gt;"",Datos_Cliente!$C$19,"NA")</f>
        <v>NA</v>
      </c>
      <c r="M125" s="181"/>
      <c r="N125" s="181"/>
      <c r="O125" s="182"/>
      <c r="P125" s="94"/>
      <c r="Q125" s="180" t="str">
        <f>IF(Datos_Cliente!$C$20&lt;&gt;"",Datos_Cliente!$C$20,"NA")</f>
        <v>NA</v>
      </c>
      <c r="R125" s="181"/>
      <c r="S125" s="181"/>
      <c r="T125" s="182"/>
      <c r="U125" s="94"/>
      <c r="V125" s="180" t="str">
        <f>IF(Datos_Cliente!$C$21&lt;&gt;"",Datos_Cliente!$C$21,"NA")</f>
        <v>NA</v>
      </c>
      <c r="W125" s="181"/>
      <c r="X125" s="181"/>
      <c r="Y125" s="182"/>
      <c r="Z125" s="94"/>
      <c r="AA125" s="180" t="str">
        <f>IF(Datos_Cliente!$C$22&lt;&gt;"",Datos_Cliente!$C$22,"NA")</f>
        <v>NA</v>
      </c>
      <c r="AB125" s="181"/>
      <c r="AC125" s="181"/>
      <c r="AD125" s="182"/>
      <c r="AE125" s="94"/>
      <c r="AF125" s="94"/>
      <c r="AG125" s="94"/>
      <c r="AH125" s="94"/>
      <c r="AI125" s="94"/>
      <c r="AJ125" s="94"/>
    </row>
    <row r="126" spans="1:36" ht="15" customHeight="1" thickBot="1" x14ac:dyDescent="0.25">
      <c r="A126" s="185" t="s">
        <v>130</v>
      </c>
      <c r="B126" s="185"/>
      <c r="C126" s="185"/>
      <c r="D126" s="185"/>
      <c r="E126" s="185"/>
      <c r="F126" s="185"/>
      <c r="G126" s="185"/>
      <c r="H126" s="185"/>
      <c r="I126" s="185"/>
      <c r="J126" s="185"/>
      <c r="K126" s="101"/>
      <c r="L126" s="141" t="str">
        <f>IF(Datos_Cliente!$B$19&lt;&gt;"",Datos_Cliente!$B$19,"NA")</f>
        <v>NA</v>
      </c>
      <c r="M126" s="139"/>
      <c r="N126" s="139"/>
      <c r="O126" s="140"/>
      <c r="P126" s="94"/>
      <c r="Q126" s="141" t="str">
        <f>IF(Datos_Cliente!$B$20&lt;&gt;"",Datos_Cliente!$B$20,"NA")</f>
        <v>NA</v>
      </c>
      <c r="R126" s="139"/>
      <c r="S126" s="139"/>
      <c r="T126" s="140"/>
      <c r="U126" s="94"/>
      <c r="V126" s="141" t="str">
        <f>IF(Datos_Cliente!$B$21&lt;&gt;"",Datos_Cliente!$B$21,"NA")</f>
        <v>NA</v>
      </c>
      <c r="W126" s="139"/>
      <c r="X126" s="139"/>
      <c r="Y126" s="140"/>
      <c r="Z126" s="94"/>
      <c r="AA126" s="141" t="str">
        <f>IF(Datos_Cliente!$B$22&lt;&gt;"",Datos_Cliente!$B$22,"NA")</f>
        <v>NA</v>
      </c>
      <c r="AB126" s="139"/>
      <c r="AC126" s="139"/>
      <c r="AD126" s="140"/>
      <c r="AE126" s="94"/>
      <c r="AF126" s="94"/>
      <c r="AG126" s="94"/>
      <c r="AH126" s="94"/>
      <c r="AI126" s="94"/>
      <c r="AJ126" s="94"/>
    </row>
    <row r="127" spans="1:36" ht="15" customHeight="1" x14ac:dyDescent="0.2">
      <c r="A127" s="180" t="s">
        <v>131</v>
      </c>
      <c r="B127" s="181"/>
      <c r="C127" s="181"/>
      <c r="D127" s="181"/>
      <c r="E127" s="181"/>
      <c r="F127" s="187"/>
      <c r="G127" s="188" t="s">
        <v>132</v>
      </c>
      <c r="H127" s="181"/>
      <c r="I127" s="181"/>
      <c r="J127" s="182"/>
      <c r="K127" s="95"/>
      <c r="L127" s="189" t="s">
        <v>133</v>
      </c>
      <c r="M127" s="190"/>
      <c r="N127" s="190"/>
      <c r="O127" s="191"/>
      <c r="P127" s="94"/>
      <c r="Q127" s="189" t="s">
        <v>133</v>
      </c>
      <c r="R127" s="190"/>
      <c r="S127" s="190"/>
      <c r="T127" s="191"/>
      <c r="U127" s="94"/>
      <c r="V127" s="189" t="s">
        <v>133</v>
      </c>
      <c r="W127" s="190"/>
      <c r="X127" s="190"/>
      <c r="Y127" s="191"/>
      <c r="Z127" s="94"/>
      <c r="AA127" s="189" t="s">
        <v>133</v>
      </c>
      <c r="AB127" s="190"/>
      <c r="AC127" s="190"/>
      <c r="AD127" s="191"/>
      <c r="AE127" s="94"/>
      <c r="AF127" s="180" t="s">
        <v>134</v>
      </c>
      <c r="AG127" s="181"/>
      <c r="AH127" s="181"/>
      <c r="AI127" s="181"/>
      <c r="AJ127" s="182"/>
    </row>
    <row r="128" spans="1:36" ht="15" customHeight="1" x14ac:dyDescent="0.2">
      <c r="A128" s="145" t="s">
        <v>135</v>
      </c>
      <c r="B128" s="146"/>
      <c r="C128" s="146"/>
      <c r="D128" s="146"/>
      <c r="E128" s="146"/>
      <c r="F128" s="146"/>
      <c r="G128" s="148" t="s">
        <v>136</v>
      </c>
      <c r="H128" s="149"/>
      <c r="I128" s="149"/>
      <c r="J128" s="150"/>
      <c r="K128" s="94"/>
      <c r="L128" s="141" t="str">
        <f>IF(Lectura_Fert!L19&lt;&gt;"",(Lectura_Fert!L19*Lectura_Fert!$K$8*0.014*100)/Lectura_Fert!K19, "NA")</f>
        <v>NA</v>
      </c>
      <c r="M128" s="139"/>
      <c r="N128" s="139"/>
      <c r="O128" s="140"/>
      <c r="P128" s="94"/>
      <c r="Q128" s="142" t="str">
        <f>IF(Lectura_Fert!L20&lt;&gt;"",(Lectura_Fert!L20*Lectura_Fert!$K$8*0.014*100)/Lectura_Fert!K20, "NA")</f>
        <v>NA</v>
      </c>
      <c r="R128" s="143"/>
      <c r="S128" s="143"/>
      <c r="T128" s="144"/>
      <c r="U128" s="94"/>
      <c r="V128" s="142" t="str">
        <f>IF(Lectura_Fert!L21&lt;&gt;"",(Lectura_Fert!L21*Lectura_Fert!$K$8*0.014*100)/Lectura_Fert!K21, "NA")</f>
        <v>NA</v>
      </c>
      <c r="W128" s="143"/>
      <c r="X128" s="143"/>
      <c r="Y128" s="144"/>
      <c r="Z128" s="94"/>
      <c r="AA128" s="142" t="str">
        <f>IF(Lectura_Fert!L22&lt;&gt;"",(Lectura_Fert!L22*Lectura_Fert!$K$8*0.014*100)/Lectura_Fert!K22, "NA")</f>
        <v>NA</v>
      </c>
      <c r="AB128" s="143"/>
      <c r="AC128" s="143"/>
      <c r="AD128" s="144"/>
      <c r="AE128" s="94"/>
      <c r="AF128" s="141">
        <f>VLOOKUP(Datos_Cliente!$G$16,CULTIVOS!$A$2:$W$127,2,0)</f>
        <v>2.7</v>
      </c>
      <c r="AG128" s="139"/>
      <c r="AH128" s="107" t="s">
        <v>137</v>
      </c>
      <c r="AI128" s="139">
        <f>VLOOKUP(Datos_Cliente!$G$16,CULTIVOS!$A$2:$W$127,3,0)</f>
        <v>3.5</v>
      </c>
      <c r="AJ128" s="140"/>
    </row>
    <row r="129" spans="1:36" ht="15" customHeight="1" x14ac:dyDescent="0.2">
      <c r="A129" s="145" t="s">
        <v>138</v>
      </c>
      <c r="B129" s="146"/>
      <c r="C129" s="146"/>
      <c r="D129" s="146"/>
      <c r="E129" s="146"/>
      <c r="F129" s="147"/>
      <c r="G129" s="148" t="s">
        <v>136</v>
      </c>
      <c r="H129" s="149"/>
      <c r="I129" s="149"/>
      <c r="J129" s="150"/>
      <c r="K129" s="94"/>
      <c r="L129" s="142" t="str">
        <f>IF(Lectura_Fert!R19&lt;&gt;"", Lectura_Fert!R19, "NA")</f>
        <v>NA</v>
      </c>
      <c r="M129" s="143"/>
      <c r="N129" s="143"/>
      <c r="O129" s="144"/>
      <c r="P129" s="94"/>
      <c r="Q129" s="142" t="str">
        <f>IF(Lectura_Fert!R20&lt;&gt;"", Lectura_Fert!R20, "NA")</f>
        <v>NA</v>
      </c>
      <c r="R129" s="143"/>
      <c r="S129" s="143"/>
      <c r="T129" s="144"/>
      <c r="U129" s="94"/>
      <c r="V129" s="142" t="str">
        <f>IF(Lectura_Fert!R21&lt;&gt;"", Lectura_Fert!R21, "NA")</f>
        <v>NA</v>
      </c>
      <c r="W129" s="143"/>
      <c r="X129" s="143"/>
      <c r="Y129" s="144"/>
      <c r="Z129" s="94"/>
      <c r="AA129" s="142" t="str">
        <f>IF(Lectura_Fert!R22&lt;&gt;"", Lectura_Fert!R22, "NA")</f>
        <v>NA</v>
      </c>
      <c r="AB129" s="143"/>
      <c r="AC129" s="143"/>
      <c r="AD129" s="144"/>
      <c r="AE129" s="94"/>
      <c r="AF129" s="141">
        <f>VLOOKUP(Datos_Cliente!$G$16,CULTIVOS!$A$2:$W$127,4,0)</f>
        <v>1</v>
      </c>
      <c r="AG129" s="139"/>
      <c r="AH129" s="107" t="s">
        <v>137</v>
      </c>
      <c r="AI129" s="139">
        <f>VLOOKUP(Datos_Cliente!$G$16,CULTIVOS!$A$2:$W$127,5,0)</f>
        <v>1.75</v>
      </c>
      <c r="AJ129" s="140"/>
    </row>
    <row r="130" spans="1:36" ht="15" customHeight="1" x14ac:dyDescent="0.2">
      <c r="A130" s="145" t="s">
        <v>139</v>
      </c>
      <c r="B130" s="146"/>
      <c r="C130" s="146"/>
      <c r="D130" s="146"/>
      <c r="E130" s="146"/>
      <c r="F130" s="147"/>
      <c r="G130" s="148" t="s">
        <v>136</v>
      </c>
      <c r="H130" s="149"/>
      <c r="I130" s="149"/>
      <c r="J130" s="150"/>
      <c r="K130" s="94"/>
      <c r="L130" s="142" t="str">
        <f>IF(Lectura_Fert!S19&lt;&gt;"", Lectura_Fert!S19, "NA")</f>
        <v>NA</v>
      </c>
      <c r="M130" s="143"/>
      <c r="N130" s="143"/>
      <c r="O130" s="144"/>
      <c r="P130" s="94"/>
      <c r="Q130" s="142" t="str">
        <f>IF(Lectura_Fert!S20&lt;&gt;"", Lectura_Fert!S20, "NA")</f>
        <v>NA</v>
      </c>
      <c r="R130" s="143"/>
      <c r="S130" s="143"/>
      <c r="T130" s="144"/>
      <c r="U130" s="94"/>
      <c r="V130" s="142" t="str">
        <f>IF(Lectura_Fert!S21&lt;&gt;"", Lectura_Fert!S21, "NA")</f>
        <v>NA</v>
      </c>
      <c r="W130" s="143"/>
      <c r="X130" s="143"/>
      <c r="Y130" s="144"/>
      <c r="Z130" s="94"/>
      <c r="AA130" s="142" t="str">
        <f>IF(Lectura_Fert!S22&lt;&gt;"", Lectura_Fert!S22, "NA")</f>
        <v>NA</v>
      </c>
      <c r="AB130" s="143"/>
      <c r="AC130" s="143"/>
      <c r="AD130" s="144"/>
      <c r="AE130" s="94"/>
      <c r="AF130" s="141">
        <f>VLOOKUP(Datos_Cliente!$G$16,CULTIVOS!$A$2:$W$127,6,0)</f>
        <v>0.3</v>
      </c>
      <c r="AG130" s="139"/>
      <c r="AH130" s="107" t="s">
        <v>137</v>
      </c>
      <c r="AI130" s="139">
        <f>VLOOKUP(Datos_Cliente!$G$16,CULTIVOS!$A$2:$W$127,7,0)</f>
        <v>0.6</v>
      </c>
      <c r="AJ130" s="140"/>
    </row>
    <row r="131" spans="1:36" ht="15" customHeight="1" x14ac:dyDescent="0.2">
      <c r="A131" s="145" t="s">
        <v>140</v>
      </c>
      <c r="B131" s="146"/>
      <c r="C131" s="146"/>
      <c r="D131" s="146"/>
      <c r="E131" s="146"/>
      <c r="F131" s="147"/>
      <c r="G131" s="148" t="s">
        <v>136</v>
      </c>
      <c r="H131" s="149"/>
      <c r="I131" s="149"/>
      <c r="J131" s="150"/>
      <c r="K131" s="94"/>
      <c r="L131" s="142" t="str">
        <f>IF(Lectura_Fert!Y19&lt;&gt;"", (((Lectura_Fert!Y19-Lectura_Fert!$Y$10)*Lectura_Fert!$T19*Lectura_Fert!$U19))/10000, "NA")</f>
        <v>NA</v>
      </c>
      <c r="M131" s="143"/>
      <c r="N131" s="143"/>
      <c r="O131" s="144"/>
      <c r="P131" s="94"/>
      <c r="Q131" s="142" t="str">
        <f>IF(Lectura_Fert!Y20&lt;&gt;"", (((Lectura_Fert!Y20-Lectura_Fert!$Y$10)*Lectura_Fert!$T20*Lectura_Fert!$U20))/10000, "NA")</f>
        <v>NA</v>
      </c>
      <c r="R131" s="143"/>
      <c r="S131" s="143"/>
      <c r="T131" s="144"/>
      <c r="U131" s="94"/>
      <c r="V131" s="142" t="str">
        <f>IF(Lectura_Fert!Y21&lt;&gt;"", (((Lectura_Fert!Y21-Lectura_Fert!$Y$10)*Lectura_Fert!$T21*Lectura_Fert!$U21))/10000, "NA")</f>
        <v>NA</v>
      </c>
      <c r="W131" s="143"/>
      <c r="X131" s="143"/>
      <c r="Y131" s="144"/>
      <c r="Z131" s="94"/>
      <c r="AA131" s="142" t="str">
        <f>IF(Lectura_Fert!Y22&lt;&gt;"", (((Lectura_Fert!Y22-Lectura_Fert!$Y$10)*Lectura_Fert!$T22*Lectura_Fert!$U22))/10000, "NA")</f>
        <v>NA</v>
      </c>
      <c r="AB131" s="143"/>
      <c r="AC131" s="143"/>
      <c r="AD131" s="144"/>
      <c r="AE131" s="94"/>
      <c r="AF131" s="141">
        <f>VLOOKUP(Datos_Cliente!$G$16,CULTIVOS!$A$2:$W$127,8,0)</f>
        <v>1.25</v>
      </c>
      <c r="AG131" s="139"/>
      <c r="AH131" s="107" t="s">
        <v>137</v>
      </c>
      <c r="AI131" s="139">
        <f>VLOOKUP(Datos_Cliente!$G$16,CULTIVOS!$A$2:$W$127,9,0)</f>
        <v>2.5</v>
      </c>
      <c r="AJ131" s="140"/>
    </row>
    <row r="132" spans="1:36" ht="15" customHeight="1" x14ac:dyDescent="0.2">
      <c r="A132" s="145" t="s">
        <v>141</v>
      </c>
      <c r="B132" s="146"/>
      <c r="C132" s="146"/>
      <c r="D132" s="146"/>
      <c r="E132" s="146"/>
      <c r="F132" s="147"/>
      <c r="G132" s="148" t="s">
        <v>136</v>
      </c>
      <c r="H132" s="149"/>
      <c r="I132" s="149"/>
      <c r="J132" s="150"/>
      <c r="K132" s="94"/>
      <c r="L132" s="142" t="str">
        <f>IF(Lectura_Fert!J19&lt;&gt;"", (VLOOKUP(Lectura_Fert!J19,P_Aprov!$A$2:$B$193,2)*(100/Lectura_Fert!H19)*(50/Lectura_Fert!I19))/10000, "NA")</f>
        <v>NA</v>
      </c>
      <c r="M132" s="143"/>
      <c r="N132" s="143"/>
      <c r="O132" s="144"/>
      <c r="P132" s="94"/>
      <c r="Q132" s="142" t="str">
        <f>IF(Lectura_Fert!J20&lt;&gt;"", (VLOOKUP(Lectura_Fert!J20,P_Aprov!$A$2:$B$193,2)*(100/Lectura_Fert!H20)*(50/Lectura_Fert!I20))/10000, "NA")</f>
        <v>NA</v>
      </c>
      <c r="R132" s="143"/>
      <c r="S132" s="143"/>
      <c r="T132" s="144"/>
      <c r="U132" s="94"/>
      <c r="V132" s="142" t="str">
        <f>IF(Lectura_Fert!J21&lt;&gt;"", (VLOOKUP(Lectura_Fert!J21,P_Aprov!$A$2:$B$193,2)*(100/Lectura_Fert!H21)*(50/Lectura_Fert!I21))/10000, "NA")</f>
        <v>NA</v>
      </c>
      <c r="W132" s="143"/>
      <c r="X132" s="143"/>
      <c r="Y132" s="144"/>
      <c r="Z132" s="94"/>
      <c r="AA132" s="142" t="str">
        <f>IF(Lectura_Fert!J22&lt;&gt;"", (VLOOKUP(Lectura_Fert!J22,P_Aprov!$A$2:$B$193,2)*(100/Lectura_Fert!H22)*(50/Lectura_Fert!I22))/10000, "NA")</f>
        <v>NA</v>
      </c>
      <c r="AB132" s="143"/>
      <c r="AC132" s="143"/>
      <c r="AD132" s="144"/>
      <c r="AE132" s="94"/>
      <c r="AF132" s="141">
        <f>VLOOKUP(Datos_Cliente!$G$16,CULTIVOS!$A$2:$W$127,10,0)</f>
        <v>0.14000000000000001</v>
      </c>
      <c r="AG132" s="139"/>
      <c r="AH132" s="107" t="s">
        <v>137</v>
      </c>
      <c r="AI132" s="139">
        <f>VLOOKUP(Datos_Cliente!$G$16,CULTIVOS!$A$2:$W$127,11,0)</f>
        <v>0.3</v>
      </c>
      <c r="AJ132" s="140"/>
    </row>
    <row r="133" spans="1:36" ht="15" customHeight="1" x14ac:dyDescent="0.2">
      <c r="A133" s="145" t="s">
        <v>290</v>
      </c>
      <c r="B133" s="146"/>
      <c r="C133" s="146"/>
      <c r="D133" s="146"/>
      <c r="E133" s="146"/>
      <c r="F133" s="147"/>
      <c r="G133" s="148" t="s">
        <v>142</v>
      </c>
      <c r="H133" s="149"/>
      <c r="I133" s="149"/>
      <c r="J133" s="150"/>
      <c r="K133" s="94"/>
      <c r="L133" s="142" t="str">
        <f>IF(Lectura_Fert!Q19&lt;&gt;"", VLOOKUP(Lectura_Fert!Q19,'N-NO3'!$A$2:$B$187,2)*(Lectura_Fert!N19/Lectura_Fert!M19)*(Lectura_Fert!P19/Lectura_Fert!O19), "NA")</f>
        <v>NA</v>
      </c>
      <c r="M133" s="143"/>
      <c r="N133" s="143"/>
      <c r="O133" s="144"/>
      <c r="P133" s="94"/>
      <c r="Q133" s="142" t="str">
        <f>IF(Lectura_Fert!Q20&lt;&gt;"", VLOOKUP(Lectura_Fert!Q20,'N-NO3'!$A$2:$B$187,2)*(Lectura_Fert!N20/Lectura_Fert!M20)*(Lectura_Fert!P20/Lectura_Fert!O20), "NA")</f>
        <v>NA</v>
      </c>
      <c r="R133" s="143"/>
      <c r="S133" s="143"/>
      <c r="T133" s="144"/>
      <c r="U133" s="94"/>
      <c r="V133" s="142" t="str">
        <f>IF(Lectura_Fert!Q21&lt;&gt;"", VLOOKUP(Lectura_Fert!Q21,'N-NO3'!$A$2:$B$187,2)*(Lectura_Fert!N21/Lectura_Fert!M21)*(Lectura_Fert!P21/Lectura_Fert!O21), "NA")</f>
        <v>NA</v>
      </c>
      <c r="W133" s="143"/>
      <c r="X133" s="143"/>
      <c r="Y133" s="144"/>
      <c r="Z133" s="94"/>
      <c r="AA133" s="142" t="str">
        <f>IF(Lectura_Fert!Q22&lt;&gt;"", VLOOKUP(Lectura_Fert!Q22,'N-NO3'!$A$2:$B$187,2)*(Lectura_Fert!N22/Lectura_Fert!M22)*(Lectura_Fert!P22/Lectura_Fert!O22), "NA")</f>
        <v>NA</v>
      </c>
      <c r="AB133" s="143"/>
      <c r="AC133" s="143"/>
      <c r="AD133" s="144"/>
      <c r="AE133" s="94"/>
      <c r="AF133" s="141">
        <f>VLOOKUP(Datos_Cliente!$G$16,CULTIVOS!$A$2:$W$127,12,0)</f>
        <v>0</v>
      </c>
      <c r="AG133" s="139"/>
      <c r="AH133" s="107" t="s">
        <v>137</v>
      </c>
      <c r="AI133" s="139">
        <f>VLOOKUP(Datos_Cliente!$G$16,CULTIVOS!$A$2:$W$127,13,0)</f>
        <v>0</v>
      </c>
      <c r="AJ133" s="140"/>
    </row>
    <row r="134" spans="1:36" ht="15" customHeight="1" x14ac:dyDescent="0.2">
      <c r="A134" s="189" t="s">
        <v>143</v>
      </c>
      <c r="B134" s="190"/>
      <c r="C134" s="190"/>
      <c r="D134" s="190"/>
      <c r="E134" s="190"/>
      <c r="F134" s="235"/>
      <c r="G134" s="234" t="s">
        <v>132</v>
      </c>
      <c r="H134" s="190"/>
      <c r="I134" s="190"/>
      <c r="J134" s="191"/>
      <c r="K134" s="94"/>
      <c r="L134" s="189" t="s">
        <v>133</v>
      </c>
      <c r="M134" s="190"/>
      <c r="N134" s="190"/>
      <c r="O134" s="191"/>
      <c r="P134" s="94"/>
      <c r="Q134" s="189" t="s">
        <v>133</v>
      </c>
      <c r="R134" s="190"/>
      <c r="S134" s="190"/>
      <c r="T134" s="191"/>
      <c r="U134" s="94"/>
      <c r="V134" s="189" t="s">
        <v>133</v>
      </c>
      <c r="W134" s="190"/>
      <c r="X134" s="190"/>
      <c r="Y134" s="191"/>
      <c r="Z134" s="94"/>
      <c r="AA134" s="189" t="s">
        <v>133</v>
      </c>
      <c r="AB134" s="190"/>
      <c r="AC134" s="190"/>
      <c r="AD134" s="191"/>
      <c r="AE134" s="94"/>
      <c r="AF134" s="141"/>
      <c r="AG134" s="139"/>
      <c r="AH134" s="107"/>
      <c r="AI134" s="139"/>
      <c r="AJ134" s="140"/>
    </row>
    <row r="135" spans="1:36" ht="15" customHeight="1" x14ac:dyDescent="0.2">
      <c r="A135" s="145" t="s">
        <v>144</v>
      </c>
      <c r="B135" s="146"/>
      <c r="C135" s="146"/>
      <c r="D135" s="146"/>
      <c r="E135" s="146"/>
      <c r="F135" s="147"/>
      <c r="G135" s="148" t="s">
        <v>142</v>
      </c>
      <c r="H135" s="149"/>
      <c r="I135" s="149"/>
      <c r="J135" s="150"/>
      <c r="K135" s="94"/>
      <c r="L135" s="142" t="str">
        <f>IF(Lectura_Fert!E19&lt;&gt;"", Lectura_Fert!E19, "NA")</f>
        <v>NA</v>
      </c>
      <c r="M135" s="143"/>
      <c r="N135" s="143"/>
      <c r="O135" s="144"/>
      <c r="P135" s="94"/>
      <c r="Q135" s="142" t="str">
        <f>IF(Lectura_Fert!E20&lt;&gt;"", Lectura_Fert!E20, "NA")</f>
        <v>NA</v>
      </c>
      <c r="R135" s="143"/>
      <c r="S135" s="143"/>
      <c r="T135" s="144"/>
      <c r="U135" s="94"/>
      <c r="V135" s="142" t="str">
        <f>IF(Lectura_Fert!E21&lt;&gt;"", Lectura_Fert!E21, "NA")</f>
        <v>NA</v>
      </c>
      <c r="W135" s="143"/>
      <c r="X135" s="143"/>
      <c r="Y135" s="144"/>
      <c r="Z135" s="94"/>
      <c r="AA135" s="142" t="str">
        <f>IF(Lectura_Fert!E22&lt;&gt;"", Lectura_Fert!E22, "NA")</f>
        <v>NA</v>
      </c>
      <c r="AB135" s="143"/>
      <c r="AC135" s="143"/>
      <c r="AD135" s="144"/>
      <c r="AE135" s="94"/>
      <c r="AF135" s="141">
        <f>VLOOKUP(Datos_Cliente!$G$16,CULTIVOS!$A$2:$W$127,14,0)</f>
        <v>50</v>
      </c>
      <c r="AG135" s="139"/>
      <c r="AH135" s="98" t="s">
        <v>137</v>
      </c>
      <c r="AI135" s="139">
        <f>VLOOKUP(Datos_Cliente!$G$16,CULTIVOS!$A$2:$W$127,15,0)</f>
        <v>300</v>
      </c>
      <c r="AJ135" s="140"/>
    </row>
    <row r="136" spans="1:36" ht="15" customHeight="1" x14ac:dyDescent="0.2">
      <c r="A136" s="145" t="s">
        <v>145</v>
      </c>
      <c r="B136" s="146"/>
      <c r="C136" s="146"/>
      <c r="D136" s="146"/>
      <c r="E136" s="146"/>
      <c r="F136" s="147"/>
      <c r="G136" s="148" t="s">
        <v>142</v>
      </c>
      <c r="H136" s="149"/>
      <c r="I136" s="149"/>
      <c r="J136" s="150"/>
      <c r="K136" s="94"/>
      <c r="L136" s="142" t="str">
        <f>IF(Lectura_Fert!D19&lt;&gt;"", Lectura_Fert!D19, "NA")</f>
        <v>NA</v>
      </c>
      <c r="M136" s="143"/>
      <c r="N136" s="143"/>
      <c r="O136" s="144"/>
      <c r="P136" s="94"/>
      <c r="Q136" s="142" t="str">
        <f>IF(Lectura_Fert!D20&lt;&gt;"", Lectura_Fert!D20, "NA")</f>
        <v>NA</v>
      </c>
      <c r="R136" s="143"/>
      <c r="S136" s="143"/>
      <c r="T136" s="144"/>
      <c r="U136" s="94"/>
      <c r="V136" s="142" t="str">
        <f>IF(Lectura_Fert!D21&lt;&gt;"", Lectura_Fert!D21, "NA")</f>
        <v>NA</v>
      </c>
      <c r="W136" s="143"/>
      <c r="X136" s="143"/>
      <c r="Y136" s="144"/>
      <c r="Z136" s="94"/>
      <c r="AA136" s="142" t="str">
        <f>IF(Lectura_Fert!D22&lt;&gt;"", Lectura_Fert!D22, "NA")</f>
        <v>NA</v>
      </c>
      <c r="AB136" s="143"/>
      <c r="AC136" s="143"/>
      <c r="AD136" s="144"/>
      <c r="AE136" s="94"/>
      <c r="AF136" s="141">
        <f>VLOOKUP(Datos_Cliente!$G$16,CULTIVOS!$A$2:$W$127,16,0)</f>
        <v>80</v>
      </c>
      <c r="AG136" s="139"/>
      <c r="AH136" s="107" t="s">
        <v>137</v>
      </c>
      <c r="AI136" s="139">
        <f>VLOOKUP(Datos_Cliente!$G$16,CULTIVOS!$A$2:$W$127,17,0)</f>
        <v>300</v>
      </c>
      <c r="AJ136" s="140"/>
    </row>
    <row r="137" spans="1:36" ht="15" customHeight="1" x14ac:dyDescent="0.2">
      <c r="A137" s="145" t="s">
        <v>146</v>
      </c>
      <c r="B137" s="146"/>
      <c r="C137" s="146"/>
      <c r="D137" s="146"/>
      <c r="E137" s="146"/>
      <c r="F137" s="147"/>
      <c r="G137" s="148" t="s">
        <v>142</v>
      </c>
      <c r="H137" s="149"/>
      <c r="I137" s="149"/>
      <c r="J137" s="150"/>
      <c r="K137" s="94"/>
      <c r="L137" s="142" t="str">
        <f>IF(Lectura_Fert!F19&lt;&gt;"", Lectura_Fert!F19, "NA")</f>
        <v>NA</v>
      </c>
      <c r="M137" s="143"/>
      <c r="N137" s="143"/>
      <c r="O137" s="144"/>
      <c r="P137" s="94"/>
      <c r="Q137" s="142" t="str">
        <f>IF(Lectura_Fert!F20&lt;&gt;"", Lectura_Fert!F20, "NA")</f>
        <v>NA</v>
      </c>
      <c r="R137" s="143"/>
      <c r="S137" s="143"/>
      <c r="T137" s="144"/>
      <c r="U137" s="94"/>
      <c r="V137" s="142" t="str">
        <f>IF(Lectura_Fert!F21&lt;&gt;"", Lectura_Fert!F21, "NA")</f>
        <v>NA</v>
      </c>
      <c r="W137" s="143"/>
      <c r="X137" s="143"/>
      <c r="Y137" s="144"/>
      <c r="Z137" s="94"/>
      <c r="AA137" s="142" t="str">
        <f>IF(Lectura_Fert!F22&lt;&gt;"", Lectura_Fert!F22, "NA")</f>
        <v>NA</v>
      </c>
      <c r="AB137" s="143"/>
      <c r="AC137" s="143"/>
      <c r="AD137" s="144"/>
      <c r="AE137" s="94"/>
      <c r="AF137" s="141">
        <f>VLOOKUP(Datos_Cliente!$G$16,CULTIVOS!$A$2:$W$127,18,0)</f>
        <v>50</v>
      </c>
      <c r="AG137" s="139"/>
      <c r="AH137" s="107" t="s">
        <v>137</v>
      </c>
      <c r="AI137" s="139">
        <f>VLOOKUP(Datos_Cliente!$G$16,CULTIVOS!$A$2:$W$127,19,0)</f>
        <v>100</v>
      </c>
      <c r="AJ137" s="140"/>
    </row>
    <row r="138" spans="1:36" ht="15" customHeight="1" x14ac:dyDescent="0.2">
      <c r="A138" s="145" t="s">
        <v>147</v>
      </c>
      <c r="B138" s="146"/>
      <c r="C138" s="146"/>
      <c r="D138" s="146"/>
      <c r="E138" s="146"/>
      <c r="F138" s="147"/>
      <c r="G138" s="148" t="s">
        <v>142</v>
      </c>
      <c r="H138" s="149"/>
      <c r="I138" s="149"/>
      <c r="J138" s="150"/>
      <c r="K138" s="94"/>
      <c r="L138" s="142" t="str">
        <f>IF(Lectura_Fert!C19&lt;&gt;"", Lectura_Fert!C19, "NA")</f>
        <v>NA</v>
      </c>
      <c r="M138" s="143"/>
      <c r="N138" s="143"/>
      <c r="O138" s="144"/>
      <c r="P138" s="94"/>
      <c r="Q138" s="142" t="str">
        <f>IF(Lectura_Fert!C20&lt;&gt;"", Lectura_Fert!C20, "NA")</f>
        <v>NA</v>
      </c>
      <c r="R138" s="143"/>
      <c r="S138" s="143"/>
      <c r="T138" s="144"/>
      <c r="U138" s="94"/>
      <c r="V138" s="142" t="str">
        <f>IF(Lectura_Fert!C21&lt;&gt;"", Lectura_Fert!C21, "NA")</f>
        <v>NA</v>
      </c>
      <c r="W138" s="143"/>
      <c r="X138" s="143"/>
      <c r="Y138" s="144"/>
      <c r="Z138" s="94"/>
      <c r="AA138" s="142" t="str">
        <f>IF(Lectura_Fert!C22&lt;&gt;"", Lectura_Fert!C22, "NA")</f>
        <v>NA</v>
      </c>
      <c r="AB138" s="143"/>
      <c r="AC138" s="143"/>
      <c r="AD138" s="144"/>
      <c r="AE138" s="94"/>
      <c r="AF138" s="141">
        <f>VLOOKUP(Datos_Cliente!$G$16,CULTIVOS!$A$2:$W$127,20,0)</f>
        <v>6</v>
      </c>
      <c r="AG138" s="139"/>
      <c r="AH138" s="107" t="s">
        <v>137</v>
      </c>
      <c r="AI138" s="139">
        <f>VLOOKUP(Datos_Cliente!$G$16,CULTIVOS!$A$2:$W$127,21,0)</f>
        <v>30</v>
      </c>
      <c r="AJ138" s="140"/>
    </row>
    <row r="139" spans="1:36" ht="15" customHeight="1" thickBot="1" x14ac:dyDescent="0.25">
      <c r="A139" s="231" t="s">
        <v>148</v>
      </c>
      <c r="B139" s="232"/>
      <c r="C139" s="232"/>
      <c r="D139" s="232"/>
      <c r="E139" s="232"/>
      <c r="F139" s="233"/>
      <c r="G139" s="228" t="s">
        <v>142</v>
      </c>
      <c r="H139" s="229"/>
      <c r="I139" s="229"/>
      <c r="J139" s="230"/>
      <c r="K139" s="94"/>
      <c r="L139" s="211" t="str">
        <f>IF(Lectura_Fert!G19&lt;&gt;"", VLOOKUP(Lectura_Fert!G19,Boro!$A$2:$C$194,3)*400, "NA")</f>
        <v>NA</v>
      </c>
      <c r="M139" s="212"/>
      <c r="N139" s="212"/>
      <c r="O139" s="213"/>
      <c r="P139" s="94"/>
      <c r="Q139" s="211" t="str">
        <f>IF(Lectura_Fert!G20&lt;&gt;"", VLOOKUP(Lectura_Fert!G20,Boro!$A$2:$C$194,3)*400, "NA")</f>
        <v>NA</v>
      </c>
      <c r="R139" s="212"/>
      <c r="S139" s="212"/>
      <c r="T139" s="213"/>
      <c r="U139" s="94"/>
      <c r="V139" s="211" t="str">
        <f>IF(Lectura_Fert!G21&lt;&gt;"", VLOOKUP(Lectura_Fert!G21,Boro!$A$2:$C$194,3)*400, "NA")</f>
        <v>NA</v>
      </c>
      <c r="W139" s="212"/>
      <c r="X139" s="212"/>
      <c r="Y139" s="213"/>
      <c r="Z139" s="94"/>
      <c r="AA139" s="211" t="str">
        <f>IF(Lectura_Fert!G22&lt;&gt;"", VLOOKUP(Lectura_Fert!G22,Boro!$A$2:$C$194,3)*400, "NA")</f>
        <v>NA</v>
      </c>
      <c r="AB139" s="212"/>
      <c r="AC139" s="212"/>
      <c r="AD139" s="213"/>
      <c r="AE139" s="94"/>
      <c r="AF139" s="210">
        <f>VLOOKUP(Datos_Cliente!$G$16,CULTIVOS!$A$2:$W$127,22,0)</f>
        <v>15</v>
      </c>
      <c r="AG139" s="208"/>
      <c r="AH139" s="108" t="s">
        <v>137</v>
      </c>
      <c r="AI139" s="208">
        <f>VLOOKUP(Datos_Cliente!$G$16,CULTIVOS!$A$2:$W$127,23,0)</f>
        <v>50</v>
      </c>
      <c r="AJ139" s="209"/>
    </row>
    <row r="140" spans="1:36" ht="14.1" customHeight="1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</row>
    <row r="141" spans="1:36" ht="14.1" customHeight="1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</row>
    <row r="142" spans="1:36" ht="14.1" customHeight="1" thickBot="1" x14ac:dyDescent="0.2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</row>
    <row r="143" spans="1:36" ht="14.1" customHeight="1" thickBot="1" x14ac:dyDescent="0.25">
      <c r="A143" s="225" t="s">
        <v>149</v>
      </c>
      <c r="B143" s="226"/>
      <c r="C143" s="226"/>
      <c r="D143" s="226"/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6"/>
      <c r="AA143" s="226"/>
      <c r="AB143" s="226"/>
      <c r="AC143" s="226"/>
      <c r="AD143" s="226"/>
      <c r="AE143" s="226"/>
      <c r="AF143" s="226"/>
      <c r="AG143" s="226"/>
      <c r="AH143" s="226"/>
      <c r="AI143" s="226"/>
      <c r="AJ143" s="227"/>
    </row>
    <row r="144" spans="1:36" ht="14.1" customHeight="1" x14ac:dyDescent="0.2">
      <c r="A144" s="104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6"/>
    </row>
    <row r="145" spans="1:36" ht="14.1" customHeight="1" x14ac:dyDescent="0.2">
      <c r="A145" s="202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4"/>
    </row>
    <row r="146" spans="1:36" ht="14.1" customHeight="1" x14ac:dyDescent="0.2">
      <c r="A146" s="202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4"/>
    </row>
    <row r="147" spans="1:36" ht="14.1" customHeight="1" x14ac:dyDescent="0.2">
      <c r="A147" s="202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4"/>
    </row>
    <row r="148" spans="1:36" ht="14.1" customHeight="1" x14ac:dyDescent="0.2">
      <c r="A148" s="202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4"/>
    </row>
    <row r="149" spans="1:36" ht="14.1" customHeight="1" x14ac:dyDescent="0.2">
      <c r="A149" s="202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4"/>
    </row>
    <row r="150" spans="1:36" ht="14.1" customHeight="1" x14ac:dyDescent="0.2">
      <c r="A150" s="202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4"/>
    </row>
    <row r="151" spans="1:36" ht="14.1" customHeight="1" x14ac:dyDescent="0.2">
      <c r="A151" s="202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4"/>
    </row>
    <row r="152" spans="1:36" ht="14.1" customHeight="1" x14ac:dyDescent="0.2">
      <c r="A152" s="202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4"/>
    </row>
    <row r="153" spans="1:36" ht="14.1" customHeight="1" x14ac:dyDescent="0.2">
      <c r="A153" s="202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4"/>
    </row>
    <row r="154" spans="1:36" ht="14.1" customHeight="1" x14ac:dyDescent="0.2">
      <c r="A154" s="202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4"/>
    </row>
    <row r="155" spans="1:36" ht="14.1" customHeight="1" x14ac:dyDescent="0.2">
      <c r="A155" s="202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4"/>
    </row>
    <row r="156" spans="1:36" ht="14.1" customHeight="1" x14ac:dyDescent="0.2">
      <c r="A156" s="202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4"/>
    </row>
    <row r="157" spans="1:36" ht="14.1" customHeight="1" thickBot="1" x14ac:dyDescent="0.25">
      <c r="A157" s="205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  <c r="AE157" s="206"/>
      <c r="AF157" s="206"/>
      <c r="AG157" s="206"/>
      <c r="AH157" s="206"/>
      <c r="AI157" s="206"/>
      <c r="AJ157" s="207"/>
    </row>
    <row r="158" spans="1:36" ht="14.1" customHeight="1" x14ac:dyDescent="0.2">
      <c r="A158" s="137" t="s">
        <v>291</v>
      </c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</row>
    <row r="159" spans="1:36" ht="14.1" customHeight="1" x14ac:dyDescent="0.2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</row>
    <row r="160" spans="1:36" ht="14.1" customHeight="1" x14ac:dyDescent="0.2"/>
    <row r="161" spans="1:36" ht="14.1" customHeight="1" x14ac:dyDescent="0.2"/>
    <row r="162" spans="1:36" ht="14.1" customHeight="1" thickBot="1" x14ac:dyDescent="0.25"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</row>
    <row r="163" spans="1:36" ht="14.1" customHeight="1" x14ac:dyDescent="0.2">
      <c r="N163" s="275" t="s">
        <v>150</v>
      </c>
      <c r="O163" s="275"/>
      <c r="P163" s="275"/>
      <c r="Q163" s="275"/>
      <c r="R163" s="275"/>
      <c r="S163" s="275"/>
      <c r="T163" s="275"/>
      <c r="U163" s="275"/>
      <c r="V163" s="275"/>
      <c r="W163" s="275"/>
    </row>
    <row r="164" spans="1:36" ht="15" customHeight="1" x14ac:dyDescent="0.2"/>
    <row r="165" spans="1:36" ht="15" customHeight="1" thickBot="1" x14ac:dyDescent="0.25"/>
    <row r="166" spans="1:36" ht="11.25" customHeight="1" x14ac:dyDescent="0.2">
      <c r="A166" s="192"/>
      <c r="B166" s="193"/>
      <c r="C166" s="193"/>
      <c r="D166" s="193"/>
      <c r="E166" s="193"/>
      <c r="F166" s="193"/>
      <c r="G166" s="193"/>
      <c r="H166" s="193"/>
      <c r="I166" s="198" t="s">
        <v>109</v>
      </c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218" t="s">
        <v>110</v>
      </c>
      <c r="AE166" s="218"/>
      <c r="AF166" s="218"/>
      <c r="AG166" s="219" t="s">
        <v>152</v>
      </c>
      <c r="AH166" s="219"/>
      <c r="AI166" s="109">
        <f>ROUNDUP(Datos_Cliente!$C$8/4,0)</f>
        <v>2</v>
      </c>
      <c r="AJ166" s="100"/>
    </row>
    <row r="167" spans="1:36" ht="11.25" customHeight="1" x14ac:dyDescent="0.2">
      <c r="A167" s="194"/>
      <c r="B167" s="195"/>
      <c r="C167" s="195"/>
      <c r="D167" s="195"/>
      <c r="E167" s="195"/>
      <c r="F167" s="195"/>
      <c r="G167" s="195"/>
      <c r="H167" s="195"/>
      <c r="I167" s="220" t="s">
        <v>112</v>
      </c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159" t="s">
        <v>114</v>
      </c>
      <c r="AE167" s="159"/>
      <c r="AF167" s="159"/>
      <c r="AG167" s="222">
        <f>IF(Datos_Cliente!$G$15&lt;&gt;"", Datos_Cliente!$G$15,"NA")</f>
        <v>45926</v>
      </c>
      <c r="AH167" s="222"/>
      <c r="AI167" s="222"/>
      <c r="AJ167" s="223"/>
    </row>
    <row r="168" spans="1:36" ht="11.25" customHeight="1" x14ac:dyDescent="0.2">
      <c r="A168" s="194"/>
      <c r="B168" s="195"/>
      <c r="C168" s="195"/>
      <c r="D168" s="195"/>
      <c r="E168" s="195"/>
      <c r="F168" s="195"/>
      <c r="G168" s="195"/>
      <c r="H168" s="195"/>
      <c r="I168" s="220" t="s">
        <v>113</v>
      </c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159" t="s">
        <v>117</v>
      </c>
      <c r="AE168" s="159"/>
      <c r="AF168" s="159"/>
      <c r="AG168" s="159"/>
      <c r="AH168" s="161" t="str">
        <f>IF(Datos_Cliente!$G$4&lt;&gt;"", Datos_Cliente!$G$4,"NA")</f>
        <v>0034</v>
      </c>
      <c r="AI168" s="161"/>
      <c r="AJ168" s="162"/>
    </row>
    <row r="169" spans="1:36" ht="11.25" customHeight="1" x14ac:dyDescent="0.2">
      <c r="A169" s="194"/>
      <c r="B169" s="195"/>
      <c r="C169" s="195"/>
      <c r="D169" s="195"/>
      <c r="E169" s="195"/>
      <c r="F169" s="195"/>
      <c r="G169" s="195"/>
      <c r="H169" s="195"/>
      <c r="I169" s="221" t="s">
        <v>115</v>
      </c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159"/>
      <c r="AE169" s="159"/>
      <c r="AF169" s="159"/>
      <c r="AG169" s="159"/>
      <c r="AH169" s="161"/>
      <c r="AI169" s="161"/>
      <c r="AJ169" s="162"/>
    </row>
    <row r="170" spans="1:36" ht="11.25" customHeight="1" x14ac:dyDescent="0.2">
      <c r="A170" s="194"/>
      <c r="B170" s="195"/>
      <c r="C170" s="195"/>
      <c r="D170" s="195"/>
      <c r="E170" s="195"/>
      <c r="F170" s="195"/>
      <c r="G170" s="195"/>
      <c r="H170" s="195"/>
      <c r="I170" s="221" t="s">
        <v>116</v>
      </c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159" t="s">
        <v>282</v>
      </c>
      <c r="AE170" s="159"/>
      <c r="AF170" s="159"/>
      <c r="AG170" s="159"/>
      <c r="AH170" s="161" t="str">
        <f>IF(Datos_Cliente!$C$4&lt;&gt;"", Datos_Cliente!$C$4,"NA")</f>
        <v>2025-0482</v>
      </c>
      <c r="AI170" s="161"/>
      <c r="AJ170" s="162"/>
    </row>
    <row r="171" spans="1:36" ht="11.25" customHeight="1" thickBot="1" x14ac:dyDescent="0.25">
      <c r="A171" s="196"/>
      <c r="B171" s="197"/>
      <c r="C171" s="197"/>
      <c r="D171" s="197"/>
      <c r="E171" s="197"/>
      <c r="F171" s="197"/>
      <c r="G171" s="197"/>
      <c r="H171" s="197"/>
      <c r="I171" s="224" t="s">
        <v>118</v>
      </c>
      <c r="J171" s="224"/>
      <c r="K171" s="224"/>
      <c r="L171" s="224"/>
      <c r="M171" s="224"/>
      <c r="N171" s="224"/>
      <c r="O171" s="224"/>
      <c r="P171" s="224"/>
      <c r="Q171" s="224"/>
      <c r="R171" s="224"/>
      <c r="S171" s="224"/>
      <c r="T171" s="224"/>
      <c r="U171" s="224"/>
      <c r="V171" s="224"/>
      <c r="W171" s="224"/>
      <c r="X171" s="224"/>
      <c r="Y171" s="224"/>
      <c r="Z171" s="224"/>
      <c r="AA171" s="224"/>
      <c r="AB171" s="224"/>
      <c r="AC171" s="224"/>
      <c r="AD171" s="160"/>
      <c r="AE171" s="160"/>
      <c r="AF171" s="160"/>
      <c r="AG171" s="160"/>
      <c r="AH171" s="163"/>
      <c r="AI171" s="163"/>
      <c r="AJ171" s="164"/>
    </row>
    <row r="172" spans="1:36" ht="11.25" customHeight="1" x14ac:dyDescent="0.3">
      <c r="A172" s="4"/>
      <c r="B172" s="4"/>
      <c r="C172" s="4"/>
      <c r="D172" s="4"/>
      <c r="E172" s="4"/>
      <c r="F172" s="4"/>
      <c r="G172" s="4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5"/>
      <c r="T172" s="5"/>
      <c r="U172" s="6"/>
      <c r="V172" s="6"/>
      <c r="W172" s="6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 spans="1:36" ht="11.25" customHeight="1" x14ac:dyDescent="0.2">
      <c r="A173" s="217" t="s">
        <v>119</v>
      </c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</row>
    <row r="174" spans="1:36" ht="11.25" customHeight="1" thickBot="1" x14ac:dyDescent="0.25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</row>
    <row r="175" spans="1:36" ht="14.1" customHeight="1" x14ac:dyDescent="0.2">
      <c r="A175" s="158" t="s">
        <v>120</v>
      </c>
      <c r="B175" s="152"/>
      <c r="C175" s="152"/>
      <c r="D175" s="152"/>
      <c r="E175" s="151" t="str">
        <f>IF(Datos_Cliente!$C$6&lt;&gt;"", Datos_Cliente!$C$6,"NA")</f>
        <v xml:space="preserve">EL CAUDILLO </v>
      </c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2" t="s">
        <v>121</v>
      </c>
      <c r="R175" s="152"/>
      <c r="S175" s="152"/>
      <c r="T175" s="151" t="str">
        <f>IF(Datos_Cliente!$G$6&lt;&gt;"", Datos_Cliente!$G$6,"NA")</f>
        <v>BLOCK 905</v>
      </c>
      <c r="U175" s="151"/>
      <c r="V175" s="151"/>
      <c r="W175" s="151"/>
      <c r="X175" s="151"/>
      <c r="Y175" s="151"/>
      <c r="Z175" s="151"/>
      <c r="AA175" s="152" t="s">
        <v>122</v>
      </c>
      <c r="AB175" s="152"/>
      <c r="AC175" s="152"/>
      <c r="AD175" s="152"/>
      <c r="AE175" s="152"/>
      <c r="AF175" s="152"/>
      <c r="AG175" s="151" t="str">
        <f>IF(Datos_Cliente!$G$7&lt;&gt;"", Datos_Cliente!$G$7,"NA")</f>
        <v xml:space="preserve">NOGAL </v>
      </c>
      <c r="AH175" s="151"/>
      <c r="AI175" s="151"/>
      <c r="AJ175" s="153"/>
    </row>
    <row r="176" spans="1:36" ht="14.1" customHeight="1" x14ac:dyDescent="0.2">
      <c r="A176" s="154" t="s">
        <v>123</v>
      </c>
      <c r="B176" s="155"/>
      <c r="C176" s="155"/>
      <c r="D176" s="155"/>
      <c r="E176" s="156" t="str">
        <f>IF(Datos_Cliente!$C$7&lt;&gt;"", Datos_Cliente!$C$7,"NA")</f>
        <v xml:space="preserve">EL CAUDILLO </v>
      </c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5" t="s">
        <v>124</v>
      </c>
      <c r="R176" s="155"/>
      <c r="S176" s="155"/>
      <c r="T176" s="156" t="str">
        <f>IF(Datos_Cliente!$G$11&lt;&gt;"", Datos_Cliente!$G$11,"NA")</f>
        <v xml:space="preserve">GOTEO </v>
      </c>
      <c r="U176" s="156"/>
      <c r="V176" s="156"/>
      <c r="W176" s="156"/>
      <c r="X176" s="156"/>
      <c r="Y176" s="156"/>
      <c r="Z176" s="156"/>
      <c r="AA176" s="155" t="s">
        <v>125</v>
      </c>
      <c r="AB176" s="155"/>
      <c r="AC176" s="155"/>
      <c r="AD176" s="155"/>
      <c r="AE176" s="155"/>
      <c r="AF176" s="155"/>
      <c r="AG176" s="156" t="str">
        <f>IF(Datos_Cliente!$G$8&lt;&gt;"", Datos_Cliente!$G$8,"NA")</f>
        <v xml:space="preserve">NOGAL </v>
      </c>
      <c r="AH176" s="156"/>
      <c r="AI176" s="156"/>
      <c r="AJ176" s="157"/>
    </row>
    <row r="177" spans="1:36" ht="14.1" customHeight="1" thickBot="1" x14ac:dyDescent="0.25">
      <c r="A177" s="183" t="s">
        <v>126</v>
      </c>
      <c r="B177" s="184"/>
      <c r="C177" s="184"/>
      <c r="D177" s="184"/>
      <c r="E177" s="186" t="str">
        <f>IF(Datos_Cliente!$G$5&lt;&gt;"", Datos_Cliente!$G$5,"NA")</f>
        <v xml:space="preserve">BACUM, SON. </v>
      </c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4" t="s">
        <v>127</v>
      </c>
      <c r="R177" s="184"/>
      <c r="S177" s="184"/>
      <c r="T177" s="186" t="str">
        <f>IF(Datos_Cliente!$G$9&lt;&gt;"", Datos_Cliente!$G$9,"NA")</f>
        <v xml:space="preserve">COSECHA </v>
      </c>
      <c r="U177" s="186"/>
      <c r="V177" s="186"/>
      <c r="W177" s="186"/>
      <c r="X177" s="186"/>
      <c r="Y177" s="186"/>
      <c r="Z177" s="186"/>
      <c r="AA177" s="184" t="s">
        <v>128</v>
      </c>
      <c r="AB177" s="184"/>
      <c r="AC177" s="184"/>
      <c r="AD177" s="184"/>
      <c r="AE177" s="184"/>
      <c r="AF177" s="184"/>
      <c r="AG177" s="236">
        <f>IF(Datos_Cliente!$C$5&lt;&gt;"", Datos_Cliente!$C$5,"NA")</f>
        <v>45922</v>
      </c>
      <c r="AH177" s="236"/>
      <c r="AI177" s="236"/>
      <c r="AJ177" s="237"/>
    </row>
    <row r="178" spans="1:36" ht="11.25" customHeight="1" thickBot="1" x14ac:dyDescent="0.25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</row>
    <row r="179" spans="1:36" ht="15" customHeight="1" x14ac:dyDescent="0.2">
      <c r="A179" s="238" t="s">
        <v>129</v>
      </c>
      <c r="B179" s="238"/>
      <c r="C179" s="238"/>
      <c r="D179" s="238"/>
      <c r="E179" s="238"/>
      <c r="F179" s="238"/>
      <c r="G179" s="238"/>
      <c r="H179" s="238"/>
      <c r="I179" s="238"/>
      <c r="J179" s="238"/>
      <c r="K179" s="101"/>
      <c r="L179" s="180" t="str">
        <f>IF(Datos_Cliente!$C$23&lt;&gt;"",Datos_Cliente!$C$23,"NA")</f>
        <v>NA</v>
      </c>
      <c r="M179" s="181"/>
      <c r="N179" s="181"/>
      <c r="O179" s="182"/>
      <c r="P179" s="94"/>
      <c r="Q179" s="180" t="str">
        <f>IF(Datos_Cliente!$C$24&lt;&gt;"",Datos_Cliente!$C$24,"NA")</f>
        <v>NA</v>
      </c>
      <c r="R179" s="181"/>
      <c r="S179" s="181"/>
      <c r="T179" s="182"/>
      <c r="U179" s="94"/>
      <c r="V179" s="180" t="str">
        <f>IF(Datos_Cliente!$C$25&lt;&gt;"",Datos_Cliente!$C$25,"NA")</f>
        <v>NA</v>
      </c>
      <c r="W179" s="181"/>
      <c r="X179" s="181"/>
      <c r="Y179" s="182"/>
      <c r="Z179" s="94"/>
      <c r="AA179" s="180" t="str">
        <f>IF(Datos_Cliente!$C$26&lt;&gt;"",Datos_Cliente!$C$26,"NA")</f>
        <v>NA</v>
      </c>
      <c r="AB179" s="181"/>
      <c r="AC179" s="181"/>
      <c r="AD179" s="182"/>
      <c r="AE179" s="94"/>
      <c r="AF179" s="94"/>
      <c r="AG179" s="94"/>
      <c r="AH179" s="94"/>
      <c r="AI179" s="94"/>
      <c r="AJ179" s="94"/>
    </row>
    <row r="180" spans="1:36" ht="15" customHeight="1" thickBot="1" x14ac:dyDescent="0.25">
      <c r="A180" s="185" t="s">
        <v>130</v>
      </c>
      <c r="B180" s="185"/>
      <c r="C180" s="185"/>
      <c r="D180" s="185"/>
      <c r="E180" s="185"/>
      <c r="F180" s="185"/>
      <c r="G180" s="185"/>
      <c r="H180" s="185"/>
      <c r="I180" s="185"/>
      <c r="J180" s="185"/>
      <c r="K180" s="101"/>
      <c r="L180" s="141" t="str">
        <f>IF(Datos_Cliente!$B$23&lt;&gt;"",Datos_Cliente!$B$23,"NA")</f>
        <v>NA</v>
      </c>
      <c r="M180" s="139"/>
      <c r="N180" s="139"/>
      <c r="O180" s="140"/>
      <c r="P180" s="94"/>
      <c r="Q180" s="141" t="str">
        <f>IF(Datos_Cliente!$B$24&lt;&gt;"",Datos_Cliente!$B$24,"NA")</f>
        <v>NA</v>
      </c>
      <c r="R180" s="139"/>
      <c r="S180" s="139"/>
      <c r="T180" s="140"/>
      <c r="U180" s="94"/>
      <c r="V180" s="141" t="str">
        <f>IF(Datos_Cliente!$B$25&lt;&gt;"",Datos_Cliente!$B$25,"NA")</f>
        <v>NA</v>
      </c>
      <c r="W180" s="139"/>
      <c r="X180" s="139"/>
      <c r="Y180" s="140"/>
      <c r="Z180" s="94"/>
      <c r="AA180" s="141" t="str">
        <f>IF(Datos_Cliente!$B$26&lt;&gt;"",Datos_Cliente!$B$26,"NA")</f>
        <v>NA</v>
      </c>
      <c r="AB180" s="139"/>
      <c r="AC180" s="139"/>
      <c r="AD180" s="140"/>
      <c r="AE180" s="94"/>
      <c r="AF180" s="94"/>
      <c r="AG180" s="94"/>
      <c r="AH180" s="94"/>
      <c r="AI180" s="94"/>
      <c r="AJ180" s="94"/>
    </row>
    <row r="181" spans="1:36" ht="15" customHeight="1" x14ac:dyDescent="0.2">
      <c r="A181" s="180" t="s">
        <v>131</v>
      </c>
      <c r="B181" s="181"/>
      <c r="C181" s="181"/>
      <c r="D181" s="181"/>
      <c r="E181" s="181"/>
      <c r="F181" s="187"/>
      <c r="G181" s="188" t="s">
        <v>132</v>
      </c>
      <c r="H181" s="181"/>
      <c r="I181" s="181"/>
      <c r="J181" s="182"/>
      <c r="K181" s="95"/>
      <c r="L181" s="189" t="s">
        <v>133</v>
      </c>
      <c r="M181" s="190"/>
      <c r="N181" s="190"/>
      <c r="O181" s="191"/>
      <c r="P181" s="94"/>
      <c r="Q181" s="189" t="s">
        <v>133</v>
      </c>
      <c r="R181" s="190"/>
      <c r="S181" s="190"/>
      <c r="T181" s="191"/>
      <c r="U181" s="94"/>
      <c r="V181" s="189" t="s">
        <v>133</v>
      </c>
      <c r="W181" s="190"/>
      <c r="X181" s="190"/>
      <c r="Y181" s="191"/>
      <c r="Z181" s="94"/>
      <c r="AA181" s="189" t="s">
        <v>133</v>
      </c>
      <c r="AB181" s="190"/>
      <c r="AC181" s="190"/>
      <c r="AD181" s="191"/>
      <c r="AE181" s="94"/>
      <c r="AF181" s="180" t="s">
        <v>134</v>
      </c>
      <c r="AG181" s="181"/>
      <c r="AH181" s="181"/>
      <c r="AI181" s="181"/>
      <c r="AJ181" s="182"/>
    </row>
    <row r="182" spans="1:36" ht="15" customHeight="1" x14ac:dyDescent="0.2">
      <c r="A182" s="145" t="s">
        <v>135</v>
      </c>
      <c r="B182" s="146"/>
      <c r="C182" s="146"/>
      <c r="D182" s="146"/>
      <c r="E182" s="146"/>
      <c r="F182" s="146"/>
      <c r="G182" s="148" t="s">
        <v>136</v>
      </c>
      <c r="H182" s="149"/>
      <c r="I182" s="149"/>
      <c r="J182" s="150"/>
      <c r="K182" s="94"/>
      <c r="L182" s="141" t="str">
        <f>IF(Lectura_Fert!L23&lt;&gt;"",(Lectura_Fert!L23*Lectura_Fert!$K$8*0.014*100)/Lectura_Fert!K23, "NA")</f>
        <v>NA</v>
      </c>
      <c r="M182" s="139"/>
      <c r="N182" s="139"/>
      <c r="O182" s="140"/>
      <c r="P182" s="94"/>
      <c r="Q182" s="142" t="str">
        <f>IF(Lectura_Fert!L24&lt;&gt;"",(Lectura_Fert!L24*Lectura_Fert!$K$8*0.014*100)/Lectura_Fert!K24, "NA")</f>
        <v>NA</v>
      </c>
      <c r="R182" s="143"/>
      <c r="S182" s="143"/>
      <c r="T182" s="144"/>
      <c r="U182" s="94"/>
      <c r="V182" s="142" t="str">
        <f>IF(Lectura_Fert!L25&lt;&gt;"",(Lectura_Fert!L25*Lectura_Fert!$K$8*0.014*100)/Lectura_Fert!K25, "NA")</f>
        <v>NA</v>
      </c>
      <c r="W182" s="143"/>
      <c r="X182" s="143"/>
      <c r="Y182" s="144"/>
      <c r="Z182" s="94"/>
      <c r="AA182" s="142" t="str">
        <f>IF(Lectura_Fert!L26&lt;&gt;"",(Lectura_Fert!L26*Lectura_Fert!$K$8*0.014*100)/Lectura_Fert!K26, "NA")</f>
        <v>NA</v>
      </c>
      <c r="AB182" s="143"/>
      <c r="AC182" s="143"/>
      <c r="AD182" s="144"/>
      <c r="AE182" s="94"/>
      <c r="AF182" s="141">
        <f>VLOOKUP(Datos_Cliente!$G$16,CULTIVOS!$A$2:$W$127,2,0)</f>
        <v>2.7</v>
      </c>
      <c r="AG182" s="139"/>
      <c r="AH182" s="107" t="s">
        <v>137</v>
      </c>
      <c r="AI182" s="139">
        <f>VLOOKUP(Datos_Cliente!$G$16,CULTIVOS!$A$2:$W$127,3,0)</f>
        <v>3.5</v>
      </c>
      <c r="AJ182" s="140"/>
    </row>
    <row r="183" spans="1:36" ht="15" customHeight="1" x14ac:dyDescent="0.2">
      <c r="A183" s="145" t="s">
        <v>138</v>
      </c>
      <c r="B183" s="146"/>
      <c r="C183" s="146"/>
      <c r="D183" s="146"/>
      <c r="E183" s="146"/>
      <c r="F183" s="147"/>
      <c r="G183" s="148" t="s">
        <v>136</v>
      </c>
      <c r="H183" s="149"/>
      <c r="I183" s="149"/>
      <c r="J183" s="150"/>
      <c r="K183" s="94"/>
      <c r="L183" s="142" t="str">
        <f>IF(Lectura_Fert!R23&lt;&gt;"", Lectura_Fert!R23, "NA")</f>
        <v>NA</v>
      </c>
      <c r="M183" s="143"/>
      <c r="N183" s="143"/>
      <c r="O183" s="144"/>
      <c r="P183" s="94"/>
      <c r="Q183" s="142" t="str">
        <f>IF(Lectura_Fert!R24&lt;&gt;"", Lectura_Fert!R24, "NA")</f>
        <v>NA</v>
      </c>
      <c r="R183" s="143"/>
      <c r="S183" s="143"/>
      <c r="T183" s="144"/>
      <c r="U183" s="94"/>
      <c r="V183" s="142" t="str">
        <f>IF(Lectura_Fert!R25&lt;&gt;"", Lectura_Fert!R25, "NA")</f>
        <v>NA</v>
      </c>
      <c r="W183" s="143"/>
      <c r="X183" s="143"/>
      <c r="Y183" s="144"/>
      <c r="Z183" s="94"/>
      <c r="AA183" s="142" t="str">
        <f>IF(Lectura_Fert!R26&lt;&gt;"", Lectura_Fert!R26, "NA")</f>
        <v>NA</v>
      </c>
      <c r="AB183" s="143"/>
      <c r="AC183" s="143"/>
      <c r="AD183" s="144"/>
      <c r="AE183" s="94"/>
      <c r="AF183" s="141">
        <f>VLOOKUP(Datos_Cliente!$G$16,CULTIVOS!$A$2:$W$127,4,0)</f>
        <v>1</v>
      </c>
      <c r="AG183" s="139"/>
      <c r="AH183" s="107" t="s">
        <v>137</v>
      </c>
      <c r="AI183" s="139">
        <f>VLOOKUP(Datos_Cliente!$G$16,CULTIVOS!$A$2:$W$127,5,0)</f>
        <v>1.75</v>
      </c>
      <c r="AJ183" s="140"/>
    </row>
    <row r="184" spans="1:36" ht="15" customHeight="1" x14ac:dyDescent="0.2">
      <c r="A184" s="145" t="s">
        <v>139</v>
      </c>
      <c r="B184" s="146"/>
      <c r="C184" s="146"/>
      <c r="D184" s="146"/>
      <c r="E184" s="146"/>
      <c r="F184" s="147"/>
      <c r="G184" s="148" t="s">
        <v>136</v>
      </c>
      <c r="H184" s="149"/>
      <c r="I184" s="149"/>
      <c r="J184" s="150"/>
      <c r="K184" s="94"/>
      <c r="L184" s="142" t="str">
        <f>IF(Lectura_Fert!S23&lt;&gt;"", Lectura_Fert!S23, "NA")</f>
        <v>NA</v>
      </c>
      <c r="M184" s="143"/>
      <c r="N184" s="143"/>
      <c r="O184" s="144"/>
      <c r="P184" s="94"/>
      <c r="Q184" s="142" t="str">
        <f>IF(Lectura_Fert!S24&lt;&gt;"", Lectura_Fert!S24, "NA")</f>
        <v>NA</v>
      </c>
      <c r="R184" s="143"/>
      <c r="S184" s="143"/>
      <c r="T184" s="144"/>
      <c r="U184" s="94"/>
      <c r="V184" s="142" t="str">
        <f>IF(Lectura_Fert!S25&lt;&gt;"", Lectura_Fert!S25, "NA")</f>
        <v>NA</v>
      </c>
      <c r="W184" s="143"/>
      <c r="X184" s="143"/>
      <c r="Y184" s="144"/>
      <c r="Z184" s="94"/>
      <c r="AA184" s="142" t="str">
        <f>IF(Lectura_Fert!S26&lt;&gt;"", Lectura_Fert!S26, "NA")</f>
        <v>NA</v>
      </c>
      <c r="AB184" s="143"/>
      <c r="AC184" s="143"/>
      <c r="AD184" s="144"/>
      <c r="AE184" s="94"/>
      <c r="AF184" s="141">
        <f>VLOOKUP(Datos_Cliente!$G$16,CULTIVOS!$A$2:$W$127,6,0)</f>
        <v>0.3</v>
      </c>
      <c r="AG184" s="139"/>
      <c r="AH184" s="107" t="s">
        <v>137</v>
      </c>
      <c r="AI184" s="139">
        <f>VLOOKUP(Datos_Cliente!$G$16,CULTIVOS!$A$2:$W$127,7,0)</f>
        <v>0.6</v>
      </c>
      <c r="AJ184" s="140"/>
    </row>
    <row r="185" spans="1:36" ht="15" customHeight="1" x14ac:dyDescent="0.2">
      <c r="A185" s="145" t="s">
        <v>140</v>
      </c>
      <c r="B185" s="146"/>
      <c r="C185" s="146"/>
      <c r="D185" s="146"/>
      <c r="E185" s="146"/>
      <c r="F185" s="147"/>
      <c r="G185" s="148" t="s">
        <v>136</v>
      </c>
      <c r="H185" s="149"/>
      <c r="I185" s="149"/>
      <c r="J185" s="150"/>
      <c r="K185" s="94"/>
      <c r="L185" s="142" t="str">
        <f>IF(Lectura_Fert!Y23&lt;&gt;"", (((Lectura_Fert!Y23-Lectura_Fert!$Y$10)*Lectura_Fert!$T23*Lectura_Fert!$U23))/10000, "NA")</f>
        <v>NA</v>
      </c>
      <c r="M185" s="143"/>
      <c r="N185" s="143"/>
      <c r="O185" s="144"/>
      <c r="P185" s="94"/>
      <c r="Q185" s="142" t="str">
        <f>IF(Lectura_Fert!Y24&lt;&gt;"", (((Lectura_Fert!Y24-Lectura_Fert!$Y$10)*Lectura_Fert!$T24*Lectura_Fert!$U24))/10000, "NA")</f>
        <v>NA</v>
      </c>
      <c r="R185" s="143"/>
      <c r="S185" s="143"/>
      <c r="T185" s="144"/>
      <c r="U185" s="94"/>
      <c r="V185" s="142" t="str">
        <f>IF(Lectura_Fert!Y25&lt;&gt;"", (((Lectura_Fert!Y25-Lectura_Fert!$Y$10)*Lectura_Fert!$T25*Lectura_Fert!$U25))/10000, "NA")</f>
        <v>NA</v>
      </c>
      <c r="W185" s="143"/>
      <c r="X185" s="143"/>
      <c r="Y185" s="144"/>
      <c r="Z185" s="94"/>
      <c r="AA185" s="142" t="str">
        <f>IF(Lectura_Fert!Y26&lt;&gt;"", (((Lectura_Fert!Y26-Lectura_Fert!$Y$10)*Lectura_Fert!$T26*Lectura_Fert!$U26))/10000, "NA")</f>
        <v>NA</v>
      </c>
      <c r="AB185" s="143"/>
      <c r="AC185" s="143"/>
      <c r="AD185" s="144"/>
      <c r="AE185" s="94"/>
      <c r="AF185" s="141">
        <f>VLOOKUP(Datos_Cliente!$G$16,CULTIVOS!$A$2:$W$127,8,0)</f>
        <v>1.25</v>
      </c>
      <c r="AG185" s="139"/>
      <c r="AH185" s="107" t="s">
        <v>137</v>
      </c>
      <c r="AI185" s="139">
        <f>VLOOKUP(Datos_Cliente!$G$16,CULTIVOS!$A$2:$W$127,9,0)</f>
        <v>2.5</v>
      </c>
      <c r="AJ185" s="140"/>
    </row>
    <row r="186" spans="1:36" ht="15" customHeight="1" x14ac:dyDescent="0.2">
      <c r="A186" s="145" t="s">
        <v>141</v>
      </c>
      <c r="B186" s="146"/>
      <c r="C186" s="146"/>
      <c r="D186" s="146"/>
      <c r="E186" s="146"/>
      <c r="F186" s="147"/>
      <c r="G186" s="148" t="s">
        <v>136</v>
      </c>
      <c r="H186" s="149"/>
      <c r="I186" s="149"/>
      <c r="J186" s="150"/>
      <c r="K186" s="94"/>
      <c r="L186" s="142" t="str">
        <f>IF(Lectura_Fert!J23&lt;&gt;"", (VLOOKUP(Lectura_Fert!J23,P_Aprov!$A$2:$B$193,2)*(100/Lectura_Fert!H23)*(50/Lectura_Fert!I23))/10000, "NA")</f>
        <v>NA</v>
      </c>
      <c r="M186" s="143"/>
      <c r="N186" s="143"/>
      <c r="O186" s="144"/>
      <c r="P186" s="94"/>
      <c r="Q186" s="142" t="str">
        <f>IF(Lectura_Fert!J24&lt;&gt;"", (VLOOKUP(Lectura_Fert!J24,P_Aprov!$A$2:$B$193,2)*(100/Lectura_Fert!H24)*(50/Lectura_Fert!I24))/10000, "NA")</f>
        <v>NA</v>
      </c>
      <c r="R186" s="143"/>
      <c r="S186" s="143"/>
      <c r="T186" s="144"/>
      <c r="U186" s="94"/>
      <c r="V186" s="142" t="str">
        <f>IF(Lectura_Fert!J25&lt;&gt;"", (VLOOKUP(Lectura_Fert!J25,P_Aprov!$A$2:$B$193,2)*(100/Lectura_Fert!H25)*(50/Lectura_Fert!I25))/10000, "NA")</f>
        <v>NA</v>
      </c>
      <c r="W186" s="143"/>
      <c r="X186" s="143"/>
      <c r="Y186" s="144"/>
      <c r="Z186" s="94"/>
      <c r="AA186" s="142" t="str">
        <f>IF(Lectura_Fert!J26&lt;&gt;"", (VLOOKUP(Lectura_Fert!J26,P_Aprov!$A$2:$B$193,2)*(100/Lectura_Fert!H26)*(50/Lectura_Fert!I26))/10000, "NA")</f>
        <v>NA</v>
      </c>
      <c r="AB186" s="143"/>
      <c r="AC186" s="143"/>
      <c r="AD186" s="144"/>
      <c r="AE186" s="94"/>
      <c r="AF186" s="141">
        <f>VLOOKUP(Datos_Cliente!$G$16,CULTIVOS!$A$2:$W$127,10,0)</f>
        <v>0.14000000000000001</v>
      </c>
      <c r="AG186" s="139"/>
      <c r="AH186" s="107" t="s">
        <v>137</v>
      </c>
      <c r="AI186" s="139">
        <f>VLOOKUP(Datos_Cliente!$G$16,CULTIVOS!$A$2:$W$127,11,0)</f>
        <v>0.3</v>
      </c>
      <c r="AJ186" s="140"/>
    </row>
    <row r="187" spans="1:36" ht="15" customHeight="1" x14ac:dyDescent="0.2">
      <c r="A187" s="145" t="s">
        <v>290</v>
      </c>
      <c r="B187" s="146"/>
      <c r="C187" s="146"/>
      <c r="D187" s="146"/>
      <c r="E187" s="146"/>
      <c r="F187" s="147"/>
      <c r="G187" s="148" t="s">
        <v>142</v>
      </c>
      <c r="H187" s="149"/>
      <c r="I187" s="149"/>
      <c r="J187" s="150"/>
      <c r="K187" s="94"/>
      <c r="L187" s="142" t="str">
        <f>IF(Lectura_Fert!Q23&lt;&gt;"", VLOOKUP(Lectura_Fert!Q23,'N-NO3'!$A$2:$B$187,2)*(Lectura_Fert!N23/Lectura_Fert!M23)*(Lectura_Fert!P23/Lectura_Fert!O23), "NA")</f>
        <v>NA</v>
      </c>
      <c r="M187" s="143"/>
      <c r="N187" s="143"/>
      <c r="O187" s="144"/>
      <c r="P187" s="94"/>
      <c r="Q187" s="142" t="str">
        <f>IF(Lectura_Fert!Q24&lt;&gt;"", VLOOKUP(Lectura_Fert!Q24,'N-NO3'!$A$2:$B$187,2)*(Lectura_Fert!N24/Lectura_Fert!M24)*(Lectura_Fert!P24/Lectura_Fert!O24), "NA")</f>
        <v>NA</v>
      </c>
      <c r="R187" s="143"/>
      <c r="S187" s="143"/>
      <c r="T187" s="144"/>
      <c r="U187" s="94"/>
      <c r="V187" s="142" t="str">
        <f>IF(Lectura_Fert!Q25&lt;&gt;"", VLOOKUP(Lectura_Fert!Q25,'N-NO3'!$A$2:$B$187,2)*(Lectura_Fert!N25/Lectura_Fert!M25)*(Lectura_Fert!P25/Lectura_Fert!O25), "NA")</f>
        <v>NA</v>
      </c>
      <c r="W187" s="143"/>
      <c r="X187" s="143"/>
      <c r="Y187" s="144"/>
      <c r="Z187" s="94"/>
      <c r="AA187" s="142" t="str">
        <f>IF(Lectura_Fert!Q26&lt;&gt;"", VLOOKUP(Lectura_Fert!Q26,'N-NO3'!$A$2:$B$187,2)*(Lectura_Fert!N26/Lectura_Fert!M26)*(Lectura_Fert!P26/Lectura_Fert!O26), "NA")</f>
        <v>NA</v>
      </c>
      <c r="AB187" s="143"/>
      <c r="AC187" s="143"/>
      <c r="AD187" s="144"/>
      <c r="AE187" s="94"/>
      <c r="AF187" s="141">
        <f>VLOOKUP(Datos_Cliente!$G$16,CULTIVOS!$A$2:$W$127,12,0)</f>
        <v>0</v>
      </c>
      <c r="AG187" s="139"/>
      <c r="AH187" s="107" t="s">
        <v>137</v>
      </c>
      <c r="AI187" s="139">
        <f>VLOOKUP(Datos_Cliente!$G$16,CULTIVOS!$A$2:$W$127,13,0)</f>
        <v>0</v>
      </c>
      <c r="AJ187" s="140"/>
    </row>
    <row r="188" spans="1:36" ht="15" customHeight="1" x14ac:dyDescent="0.2">
      <c r="A188" s="189" t="s">
        <v>143</v>
      </c>
      <c r="B188" s="190"/>
      <c r="C188" s="190"/>
      <c r="D188" s="190"/>
      <c r="E188" s="190"/>
      <c r="F188" s="235"/>
      <c r="G188" s="234" t="s">
        <v>132</v>
      </c>
      <c r="H188" s="190"/>
      <c r="I188" s="190"/>
      <c r="J188" s="191"/>
      <c r="K188" s="94"/>
      <c r="L188" s="189" t="s">
        <v>133</v>
      </c>
      <c r="M188" s="190"/>
      <c r="N188" s="190"/>
      <c r="O188" s="191"/>
      <c r="P188" s="94"/>
      <c r="Q188" s="189" t="s">
        <v>133</v>
      </c>
      <c r="R188" s="190"/>
      <c r="S188" s="190"/>
      <c r="T188" s="191"/>
      <c r="U188" s="94"/>
      <c r="V188" s="189" t="s">
        <v>133</v>
      </c>
      <c r="W188" s="190"/>
      <c r="X188" s="190"/>
      <c r="Y188" s="191"/>
      <c r="Z188" s="94"/>
      <c r="AA188" s="189" t="s">
        <v>133</v>
      </c>
      <c r="AB188" s="190"/>
      <c r="AC188" s="190"/>
      <c r="AD188" s="191"/>
      <c r="AE188" s="94"/>
      <c r="AF188" s="141"/>
      <c r="AG188" s="139"/>
      <c r="AH188" s="107"/>
      <c r="AI188" s="139"/>
      <c r="AJ188" s="140"/>
    </row>
    <row r="189" spans="1:36" ht="15" customHeight="1" x14ac:dyDescent="0.2">
      <c r="A189" s="145" t="s">
        <v>144</v>
      </c>
      <c r="B189" s="146"/>
      <c r="C189" s="146"/>
      <c r="D189" s="146"/>
      <c r="E189" s="146"/>
      <c r="F189" s="147"/>
      <c r="G189" s="148" t="s">
        <v>142</v>
      </c>
      <c r="H189" s="149"/>
      <c r="I189" s="149"/>
      <c r="J189" s="150"/>
      <c r="K189" s="94"/>
      <c r="L189" s="142" t="str">
        <f>IF(Lectura_Fert!E23&lt;&gt;"", Lectura_Fert!E23, "NA")</f>
        <v>NA</v>
      </c>
      <c r="M189" s="143"/>
      <c r="N189" s="143"/>
      <c r="O189" s="144"/>
      <c r="P189" s="94"/>
      <c r="Q189" s="142" t="str">
        <f>IF(Lectura_Fert!E24&lt;&gt;"", Lectura_Fert!E24, "NA")</f>
        <v>NA</v>
      </c>
      <c r="R189" s="143"/>
      <c r="S189" s="143"/>
      <c r="T189" s="144"/>
      <c r="U189" s="94"/>
      <c r="V189" s="142" t="str">
        <f>IF(Lectura_Fert!E25&lt;&gt;"", Lectura_Fert!E25, "NA")</f>
        <v>NA</v>
      </c>
      <c r="W189" s="143"/>
      <c r="X189" s="143"/>
      <c r="Y189" s="144"/>
      <c r="Z189" s="94"/>
      <c r="AA189" s="142" t="str">
        <f>IF(Lectura_Fert!E26&lt;&gt;"", Lectura_Fert!E26, "NA")</f>
        <v>NA</v>
      </c>
      <c r="AB189" s="143"/>
      <c r="AC189" s="143"/>
      <c r="AD189" s="144"/>
      <c r="AE189" s="94"/>
      <c r="AF189" s="141">
        <f>VLOOKUP(Datos_Cliente!$G$16,CULTIVOS!$A$2:$W$127,14,0)</f>
        <v>50</v>
      </c>
      <c r="AG189" s="139"/>
      <c r="AH189" s="98" t="s">
        <v>137</v>
      </c>
      <c r="AI189" s="139">
        <f>VLOOKUP(Datos_Cliente!$G$16,CULTIVOS!$A$2:$W$127,15,0)</f>
        <v>300</v>
      </c>
      <c r="AJ189" s="140"/>
    </row>
    <row r="190" spans="1:36" ht="15" customHeight="1" x14ac:dyDescent="0.2">
      <c r="A190" s="145" t="s">
        <v>145</v>
      </c>
      <c r="B190" s="146"/>
      <c r="C190" s="146"/>
      <c r="D190" s="146"/>
      <c r="E190" s="146"/>
      <c r="F190" s="147"/>
      <c r="G190" s="148" t="s">
        <v>142</v>
      </c>
      <c r="H190" s="149"/>
      <c r="I190" s="149"/>
      <c r="J190" s="150"/>
      <c r="K190" s="94"/>
      <c r="L190" s="142" t="str">
        <f>IF(Lectura_Fert!D23&lt;&gt;"", Lectura_Fert!D23, "NA")</f>
        <v>NA</v>
      </c>
      <c r="M190" s="143"/>
      <c r="N190" s="143"/>
      <c r="O190" s="144"/>
      <c r="P190" s="94"/>
      <c r="Q190" s="142" t="str">
        <f>IF(Lectura_Fert!D24&lt;&gt;"", Lectura_Fert!D24, "NA")</f>
        <v>NA</v>
      </c>
      <c r="R190" s="143"/>
      <c r="S190" s="143"/>
      <c r="T190" s="144"/>
      <c r="U190" s="94"/>
      <c r="V190" s="142" t="str">
        <f>IF(Lectura_Fert!D25&lt;&gt;"", Lectura_Fert!D25, "NA")</f>
        <v>NA</v>
      </c>
      <c r="W190" s="143"/>
      <c r="X190" s="143"/>
      <c r="Y190" s="144"/>
      <c r="Z190" s="94"/>
      <c r="AA190" s="142" t="str">
        <f>IF(Lectura_Fert!D26&lt;&gt;"", Lectura_Fert!D26, "NA")</f>
        <v>NA</v>
      </c>
      <c r="AB190" s="143"/>
      <c r="AC190" s="143"/>
      <c r="AD190" s="144"/>
      <c r="AE190" s="94"/>
      <c r="AF190" s="141">
        <f>VLOOKUP(Datos_Cliente!$G$16,CULTIVOS!$A$2:$W$127,16,0)</f>
        <v>80</v>
      </c>
      <c r="AG190" s="139"/>
      <c r="AH190" s="107" t="s">
        <v>137</v>
      </c>
      <c r="AI190" s="139">
        <f>VLOOKUP(Datos_Cliente!$G$16,CULTIVOS!$A$2:$W$127,17,0)</f>
        <v>300</v>
      </c>
      <c r="AJ190" s="140"/>
    </row>
    <row r="191" spans="1:36" ht="15" customHeight="1" x14ac:dyDescent="0.2">
      <c r="A191" s="145" t="s">
        <v>146</v>
      </c>
      <c r="B191" s="146"/>
      <c r="C191" s="146"/>
      <c r="D191" s="146"/>
      <c r="E191" s="146"/>
      <c r="F191" s="147"/>
      <c r="G191" s="148" t="s">
        <v>142</v>
      </c>
      <c r="H191" s="149"/>
      <c r="I191" s="149"/>
      <c r="J191" s="150"/>
      <c r="K191" s="94"/>
      <c r="L191" s="142" t="str">
        <f>IF(Lectura_Fert!F23&lt;&gt;"", Lectura_Fert!F23, "NA")</f>
        <v>NA</v>
      </c>
      <c r="M191" s="143"/>
      <c r="N191" s="143"/>
      <c r="O191" s="144"/>
      <c r="P191" s="94"/>
      <c r="Q191" s="142" t="str">
        <f>IF(Lectura_Fert!F24&lt;&gt;"", Lectura_Fert!F24, "NA")</f>
        <v>NA</v>
      </c>
      <c r="R191" s="143"/>
      <c r="S191" s="143"/>
      <c r="T191" s="144"/>
      <c r="U191" s="94"/>
      <c r="V191" s="142" t="str">
        <f>IF(Lectura_Fert!F25&lt;&gt;"", Lectura_Fert!F25, "NA")</f>
        <v>NA</v>
      </c>
      <c r="W191" s="143"/>
      <c r="X191" s="143"/>
      <c r="Y191" s="144"/>
      <c r="Z191" s="94"/>
      <c r="AA191" s="142" t="str">
        <f>IF(Lectura_Fert!F26&lt;&gt;"", Lectura_Fert!F26, "NA")</f>
        <v>NA</v>
      </c>
      <c r="AB191" s="143"/>
      <c r="AC191" s="143"/>
      <c r="AD191" s="144"/>
      <c r="AE191" s="94"/>
      <c r="AF191" s="141">
        <f>VLOOKUP(Datos_Cliente!$G$16,CULTIVOS!$A$2:$W$127,18,0)</f>
        <v>50</v>
      </c>
      <c r="AG191" s="139"/>
      <c r="AH191" s="107" t="s">
        <v>137</v>
      </c>
      <c r="AI191" s="139">
        <f>VLOOKUP(Datos_Cliente!$G$16,CULTIVOS!$A$2:$W$127,19,0)</f>
        <v>100</v>
      </c>
      <c r="AJ191" s="140"/>
    </row>
    <row r="192" spans="1:36" ht="15" customHeight="1" x14ac:dyDescent="0.2">
      <c r="A192" s="145" t="s">
        <v>147</v>
      </c>
      <c r="B192" s="146"/>
      <c r="C192" s="146"/>
      <c r="D192" s="146"/>
      <c r="E192" s="146"/>
      <c r="F192" s="147"/>
      <c r="G192" s="148" t="s">
        <v>142</v>
      </c>
      <c r="H192" s="149"/>
      <c r="I192" s="149"/>
      <c r="J192" s="150"/>
      <c r="K192" s="94"/>
      <c r="L192" s="142" t="str">
        <f>IF(Lectura_Fert!C23&lt;&gt;"", Lectura_Fert!C23, "NA")</f>
        <v>NA</v>
      </c>
      <c r="M192" s="143"/>
      <c r="N192" s="143"/>
      <c r="O192" s="144"/>
      <c r="P192" s="94"/>
      <c r="Q192" s="142" t="str">
        <f>IF(Lectura_Fert!C24&lt;&gt;"", Lectura_Fert!C24, "NA")</f>
        <v>NA</v>
      </c>
      <c r="R192" s="143"/>
      <c r="S192" s="143"/>
      <c r="T192" s="144"/>
      <c r="U192" s="94"/>
      <c r="V192" s="142" t="str">
        <f>IF(Lectura_Fert!C25&lt;&gt;"", Lectura_Fert!C25, "NA")</f>
        <v>NA</v>
      </c>
      <c r="W192" s="143"/>
      <c r="X192" s="143"/>
      <c r="Y192" s="144"/>
      <c r="Z192" s="94"/>
      <c r="AA192" s="142" t="str">
        <f>IF(Lectura_Fert!C26&lt;&gt;"", Lectura_Fert!C26, "NA")</f>
        <v>NA</v>
      </c>
      <c r="AB192" s="143"/>
      <c r="AC192" s="143"/>
      <c r="AD192" s="144"/>
      <c r="AE192" s="94"/>
      <c r="AF192" s="141">
        <f>VLOOKUP(Datos_Cliente!$G$16,CULTIVOS!$A$2:$W$127,20,0)</f>
        <v>6</v>
      </c>
      <c r="AG192" s="139"/>
      <c r="AH192" s="107" t="s">
        <v>137</v>
      </c>
      <c r="AI192" s="139">
        <f>VLOOKUP(Datos_Cliente!$G$16,CULTIVOS!$A$2:$W$127,21,0)</f>
        <v>30</v>
      </c>
      <c r="AJ192" s="140"/>
    </row>
    <row r="193" spans="1:36" ht="15" customHeight="1" thickBot="1" x14ac:dyDescent="0.25">
      <c r="A193" s="231" t="s">
        <v>148</v>
      </c>
      <c r="B193" s="232"/>
      <c r="C193" s="232"/>
      <c r="D193" s="232"/>
      <c r="E193" s="232"/>
      <c r="F193" s="233"/>
      <c r="G193" s="228" t="s">
        <v>142</v>
      </c>
      <c r="H193" s="229"/>
      <c r="I193" s="229"/>
      <c r="J193" s="230"/>
      <c r="K193" s="94"/>
      <c r="L193" s="211" t="str">
        <f>IF(Lectura_Fert!G23&lt;&gt;"", VLOOKUP(Lectura_Fert!G23,Boro!$A$2:$C$194,3)*400, "NA")</f>
        <v>NA</v>
      </c>
      <c r="M193" s="212"/>
      <c r="N193" s="212"/>
      <c r="O193" s="213"/>
      <c r="P193" s="94"/>
      <c r="Q193" s="211" t="str">
        <f>IF(Lectura_Fert!G24&lt;&gt;"", VLOOKUP(Lectura_Fert!G24,Boro!$A$2:$C$194,3)*400, "NA")</f>
        <v>NA</v>
      </c>
      <c r="R193" s="212"/>
      <c r="S193" s="212"/>
      <c r="T193" s="213"/>
      <c r="U193" s="94"/>
      <c r="V193" s="211" t="str">
        <f>IF(Lectura_Fert!G25&lt;&gt;"", VLOOKUP(Lectura_Fert!G25,Boro!$A$2:$C$194,3)*400, "NA")</f>
        <v>NA</v>
      </c>
      <c r="W193" s="212"/>
      <c r="X193" s="212"/>
      <c r="Y193" s="213"/>
      <c r="Z193" s="94"/>
      <c r="AA193" s="211" t="str">
        <f>IF(Lectura_Fert!G26&lt;&gt;"", VLOOKUP(Lectura_Fert!G26,Boro!$A$2:$C$194,3)*400, "NA")</f>
        <v>NA</v>
      </c>
      <c r="AB193" s="212"/>
      <c r="AC193" s="212"/>
      <c r="AD193" s="213"/>
      <c r="AE193" s="94"/>
      <c r="AF193" s="210">
        <f>VLOOKUP(Datos_Cliente!$G$16,CULTIVOS!$A$2:$W$127,22,0)</f>
        <v>15</v>
      </c>
      <c r="AG193" s="208"/>
      <c r="AH193" s="108" t="s">
        <v>137</v>
      </c>
      <c r="AI193" s="208">
        <f>VLOOKUP(Datos_Cliente!$G$16,CULTIVOS!$A$2:$W$127,23,0)</f>
        <v>50</v>
      </c>
      <c r="AJ193" s="209"/>
    </row>
    <row r="194" spans="1:36" ht="14.1" customHeight="1" x14ac:dyDescent="0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</row>
    <row r="195" spans="1:36" ht="14.1" customHeight="1" x14ac:dyDescent="0.2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</row>
    <row r="196" spans="1:36" ht="14.1" customHeight="1" thickBot="1" x14ac:dyDescent="0.25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</row>
    <row r="197" spans="1:36" ht="14.1" customHeight="1" thickBot="1" x14ac:dyDescent="0.25">
      <c r="A197" s="225" t="s">
        <v>149</v>
      </c>
      <c r="B197" s="226"/>
      <c r="C197" s="226"/>
      <c r="D197" s="226"/>
      <c r="E197" s="226"/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  <c r="AJ197" s="227"/>
    </row>
    <row r="198" spans="1:36" ht="14.1" customHeight="1" x14ac:dyDescent="0.2">
      <c r="A198" s="104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6"/>
    </row>
    <row r="199" spans="1:36" ht="14.1" customHeight="1" x14ac:dyDescent="0.2">
      <c r="A199" s="202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4"/>
    </row>
    <row r="200" spans="1:36" ht="14.1" customHeight="1" x14ac:dyDescent="0.2">
      <c r="A200" s="202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4"/>
    </row>
    <row r="201" spans="1:36" ht="14.1" customHeight="1" x14ac:dyDescent="0.2">
      <c r="A201" s="202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4"/>
    </row>
    <row r="202" spans="1:36" ht="14.1" customHeight="1" x14ac:dyDescent="0.2">
      <c r="A202" s="202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4"/>
    </row>
    <row r="203" spans="1:36" ht="14.1" customHeight="1" x14ac:dyDescent="0.2">
      <c r="A203" s="202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4"/>
    </row>
    <row r="204" spans="1:36" ht="14.1" customHeight="1" x14ac:dyDescent="0.2">
      <c r="A204" s="202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4"/>
    </row>
    <row r="205" spans="1:36" ht="14.1" customHeight="1" x14ac:dyDescent="0.2">
      <c r="A205" s="202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4"/>
    </row>
    <row r="206" spans="1:36" ht="14.1" customHeight="1" x14ac:dyDescent="0.2">
      <c r="A206" s="202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4"/>
    </row>
    <row r="207" spans="1:36" ht="14.1" customHeight="1" x14ac:dyDescent="0.2">
      <c r="A207" s="202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4"/>
    </row>
    <row r="208" spans="1:36" ht="14.1" customHeight="1" x14ac:dyDescent="0.2">
      <c r="A208" s="202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4"/>
    </row>
    <row r="209" spans="1:36" ht="14.1" customHeight="1" x14ac:dyDescent="0.2">
      <c r="A209" s="202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4"/>
    </row>
    <row r="210" spans="1:36" ht="14.1" customHeight="1" x14ac:dyDescent="0.2">
      <c r="A210" s="202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4"/>
    </row>
    <row r="211" spans="1:36" ht="14.1" customHeight="1" x14ac:dyDescent="0.2">
      <c r="A211" s="202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4"/>
    </row>
    <row r="212" spans="1:36" ht="14.1" customHeight="1" thickBot="1" x14ac:dyDescent="0.25">
      <c r="A212" s="205"/>
      <c r="B212" s="206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  <c r="AG212" s="206"/>
      <c r="AH212" s="206"/>
      <c r="AI212" s="206"/>
      <c r="AJ212" s="207"/>
    </row>
    <row r="213" spans="1:36" ht="14.1" customHeight="1" x14ac:dyDescent="0.2">
      <c r="A213" s="137" t="s">
        <v>291</v>
      </c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</row>
    <row r="214" spans="1:36" ht="14.1" customHeight="1" x14ac:dyDescent="0.2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  <c r="AJ214" s="138"/>
    </row>
    <row r="215" spans="1:36" ht="14.1" customHeight="1" x14ac:dyDescent="0.2"/>
    <row r="216" spans="1:36" ht="14.1" customHeight="1" x14ac:dyDescent="0.2"/>
    <row r="217" spans="1:36" ht="14.1" customHeight="1" thickBot="1" x14ac:dyDescent="0.25"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</row>
    <row r="218" spans="1:36" ht="14.1" customHeight="1" x14ac:dyDescent="0.2">
      <c r="N218" s="275" t="s">
        <v>150</v>
      </c>
      <c r="O218" s="275"/>
      <c r="P218" s="275"/>
      <c r="Q218" s="275"/>
      <c r="R218" s="275"/>
      <c r="S218" s="275"/>
      <c r="T218" s="275"/>
      <c r="U218" s="275"/>
      <c r="V218" s="275"/>
      <c r="W218" s="275"/>
    </row>
    <row r="219" spans="1:36" ht="28.5" customHeight="1" x14ac:dyDescent="0.2"/>
    <row r="220" spans="1:36" ht="15" customHeight="1" thickBot="1" x14ac:dyDescent="0.25"/>
    <row r="221" spans="1:36" ht="11.25" customHeight="1" x14ac:dyDescent="0.2">
      <c r="A221" s="192"/>
      <c r="B221" s="193"/>
      <c r="C221" s="193"/>
      <c r="D221" s="193"/>
      <c r="E221" s="193"/>
      <c r="F221" s="193"/>
      <c r="G221" s="193"/>
      <c r="H221" s="193"/>
      <c r="I221" s="198" t="s">
        <v>109</v>
      </c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280" t="s">
        <v>110</v>
      </c>
      <c r="AE221" s="280"/>
      <c r="AF221" s="280"/>
      <c r="AG221" s="281" t="s">
        <v>153</v>
      </c>
      <c r="AH221" s="281"/>
      <c r="AI221" s="7">
        <f>ROUNDUP(Datos_Cliente!$C$8/4,0)</f>
        <v>2</v>
      </c>
      <c r="AJ221" s="32"/>
    </row>
    <row r="222" spans="1:36" ht="11.25" customHeight="1" x14ac:dyDescent="0.2">
      <c r="A222" s="194"/>
      <c r="B222" s="195"/>
      <c r="C222" s="195"/>
      <c r="D222" s="195"/>
      <c r="E222" s="195"/>
      <c r="F222" s="195"/>
      <c r="G222" s="195"/>
      <c r="H222" s="195"/>
      <c r="I222" s="220" t="s">
        <v>112</v>
      </c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98" t="s">
        <v>114</v>
      </c>
      <c r="AE222" s="298"/>
      <c r="AF222" s="298"/>
      <c r="AG222" s="294">
        <f>IF(Datos_Cliente!$G$15&lt;&gt;"", Datos_Cliente!$G$15,"NA")</f>
        <v>45926</v>
      </c>
      <c r="AH222" s="294"/>
      <c r="AI222" s="294"/>
      <c r="AJ222" s="295"/>
    </row>
    <row r="223" spans="1:36" ht="11.25" customHeight="1" x14ac:dyDescent="0.2">
      <c r="A223" s="194"/>
      <c r="B223" s="195"/>
      <c r="C223" s="195"/>
      <c r="D223" s="195"/>
      <c r="E223" s="195"/>
      <c r="F223" s="195"/>
      <c r="G223" s="195"/>
      <c r="H223" s="195"/>
      <c r="I223" s="220" t="s">
        <v>113</v>
      </c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83" t="s">
        <v>117</v>
      </c>
      <c r="AE223" s="283"/>
      <c r="AF223" s="283"/>
      <c r="AG223" s="283"/>
      <c r="AH223" s="220" t="str">
        <f>IF(Datos_Cliente!$G$4&lt;&gt;"", Datos_Cliente!$G$4,"NA")</f>
        <v>0034</v>
      </c>
      <c r="AI223" s="220"/>
      <c r="AJ223" s="296"/>
    </row>
    <row r="224" spans="1:36" ht="11.25" customHeight="1" x14ac:dyDescent="0.2">
      <c r="A224" s="194"/>
      <c r="B224" s="195"/>
      <c r="C224" s="195"/>
      <c r="D224" s="195"/>
      <c r="E224" s="195"/>
      <c r="F224" s="195"/>
      <c r="G224" s="195"/>
      <c r="H224" s="195"/>
      <c r="I224" s="282" t="s">
        <v>115</v>
      </c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3"/>
      <c r="AE224" s="283"/>
      <c r="AF224" s="283"/>
      <c r="AG224" s="283"/>
      <c r="AH224" s="220"/>
      <c r="AI224" s="220"/>
      <c r="AJ224" s="296"/>
    </row>
    <row r="225" spans="1:36" ht="11.25" customHeight="1" x14ac:dyDescent="0.2">
      <c r="A225" s="194"/>
      <c r="B225" s="195"/>
      <c r="C225" s="195"/>
      <c r="D225" s="195"/>
      <c r="E225" s="195"/>
      <c r="F225" s="195"/>
      <c r="G225" s="195"/>
      <c r="H225" s="195"/>
      <c r="I225" s="282" t="s">
        <v>116</v>
      </c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3" t="s">
        <v>282</v>
      </c>
      <c r="AE225" s="283"/>
      <c r="AF225" s="283"/>
      <c r="AG225" s="283"/>
      <c r="AH225" s="285" t="str">
        <f>IF(Datos_Cliente!$C$4&lt;&gt;"", Datos_Cliente!$C$4,"NA")</f>
        <v>2025-0482</v>
      </c>
      <c r="AI225" s="285"/>
      <c r="AJ225" s="286"/>
    </row>
    <row r="226" spans="1:36" ht="11.25" customHeight="1" thickBot="1" x14ac:dyDescent="0.25">
      <c r="A226" s="196"/>
      <c r="B226" s="197"/>
      <c r="C226" s="197"/>
      <c r="D226" s="197"/>
      <c r="E226" s="197"/>
      <c r="F226" s="197"/>
      <c r="G226" s="197"/>
      <c r="H226" s="197"/>
      <c r="I226" s="297" t="s">
        <v>118</v>
      </c>
      <c r="J226" s="297"/>
      <c r="K226" s="297"/>
      <c r="L226" s="297"/>
      <c r="M226" s="297"/>
      <c r="N226" s="297"/>
      <c r="O226" s="297"/>
      <c r="P226" s="297"/>
      <c r="Q226" s="297"/>
      <c r="R226" s="297"/>
      <c r="S226" s="297"/>
      <c r="T226" s="297"/>
      <c r="U226" s="297"/>
      <c r="V226" s="297"/>
      <c r="W226" s="297"/>
      <c r="X226" s="297"/>
      <c r="Y226" s="297"/>
      <c r="Z226" s="297"/>
      <c r="AA226" s="297"/>
      <c r="AB226" s="297"/>
      <c r="AC226" s="297"/>
      <c r="AD226" s="284"/>
      <c r="AE226" s="284"/>
      <c r="AF226" s="284"/>
      <c r="AG226" s="284"/>
      <c r="AH226" s="287"/>
      <c r="AI226" s="287"/>
      <c r="AJ226" s="288"/>
    </row>
    <row r="227" spans="1:36" ht="11.25" customHeight="1" x14ac:dyDescent="0.3">
      <c r="A227" s="4"/>
      <c r="B227" s="4"/>
      <c r="C227" s="4"/>
      <c r="D227" s="4"/>
      <c r="E227" s="4"/>
      <c r="F227" s="4"/>
      <c r="G227" s="4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5"/>
      <c r="T227" s="5"/>
      <c r="U227" s="6"/>
      <c r="V227" s="6"/>
      <c r="W227" s="6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 spans="1:36" ht="11.25" customHeight="1" x14ac:dyDescent="0.2">
      <c r="A228" s="289" t="s">
        <v>119</v>
      </c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  <c r="AC228" s="289"/>
      <c r="AD228" s="289"/>
      <c r="AE228" s="289"/>
      <c r="AF228" s="289"/>
      <c r="AG228" s="289"/>
      <c r="AH228" s="289"/>
      <c r="AI228" s="289"/>
      <c r="AJ228" s="289"/>
    </row>
    <row r="229" spans="1:36" ht="11.25" customHeight="1" thickBot="1" x14ac:dyDescent="0.25"/>
    <row r="230" spans="1:36" ht="14.1" customHeight="1" x14ac:dyDescent="0.2">
      <c r="A230" s="290" t="s">
        <v>120</v>
      </c>
      <c r="B230" s="291"/>
      <c r="C230" s="291"/>
      <c r="D230" s="291"/>
      <c r="E230" s="292" t="str">
        <f>IF(Datos_Cliente!$C$6&lt;&gt;"", Datos_Cliente!$C$6,"NA")</f>
        <v xml:space="preserve">EL CAUDILLO </v>
      </c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1" t="s">
        <v>121</v>
      </c>
      <c r="R230" s="291"/>
      <c r="S230" s="291"/>
      <c r="T230" s="292" t="str">
        <f>IF(Datos_Cliente!$G$6&lt;&gt;"", Datos_Cliente!$G$6,"NA")</f>
        <v>BLOCK 905</v>
      </c>
      <c r="U230" s="292"/>
      <c r="V230" s="292"/>
      <c r="W230" s="292"/>
      <c r="X230" s="292"/>
      <c r="Y230" s="292"/>
      <c r="Z230" s="292"/>
      <c r="AA230" s="291" t="s">
        <v>122</v>
      </c>
      <c r="AB230" s="291"/>
      <c r="AC230" s="291"/>
      <c r="AD230" s="291"/>
      <c r="AE230" s="291"/>
      <c r="AF230" s="291"/>
      <c r="AG230" s="292" t="str">
        <f>IF(Datos_Cliente!$G$7&lt;&gt;"", Datos_Cliente!$G$7,"NA")</f>
        <v xml:space="preserve">NOGAL </v>
      </c>
      <c r="AH230" s="292"/>
      <c r="AI230" s="292"/>
      <c r="AJ230" s="293"/>
    </row>
    <row r="231" spans="1:36" ht="14.1" customHeight="1" x14ac:dyDescent="0.2">
      <c r="A231" s="276" t="s">
        <v>123</v>
      </c>
      <c r="B231" s="277"/>
      <c r="C231" s="277"/>
      <c r="D231" s="277"/>
      <c r="E231" s="278" t="str">
        <f>IF(Datos_Cliente!$C$7&lt;&gt;"", Datos_Cliente!$C$7,"NA")</f>
        <v xml:space="preserve">EL CAUDILLO </v>
      </c>
      <c r="F231" s="278"/>
      <c r="G231" s="278"/>
      <c r="H231" s="278"/>
      <c r="I231" s="278"/>
      <c r="J231" s="278"/>
      <c r="K231" s="278"/>
      <c r="L231" s="278"/>
      <c r="M231" s="278"/>
      <c r="N231" s="278"/>
      <c r="O231" s="278"/>
      <c r="P231" s="278"/>
      <c r="Q231" s="277" t="s">
        <v>124</v>
      </c>
      <c r="R231" s="277"/>
      <c r="S231" s="277"/>
      <c r="T231" s="278" t="str">
        <f>IF(Datos_Cliente!$G$11&lt;&gt;"", Datos_Cliente!$G$11,"NA")</f>
        <v xml:space="preserve">GOTEO </v>
      </c>
      <c r="U231" s="278"/>
      <c r="V231" s="278"/>
      <c r="W231" s="278"/>
      <c r="X231" s="278"/>
      <c r="Y231" s="278"/>
      <c r="Z231" s="278"/>
      <c r="AA231" s="277" t="s">
        <v>125</v>
      </c>
      <c r="AB231" s="277"/>
      <c r="AC231" s="277"/>
      <c r="AD231" s="277"/>
      <c r="AE231" s="277"/>
      <c r="AF231" s="277"/>
      <c r="AG231" s="278" t="str">
        <f>IF(Datos_Cliente!$G$8&lt;&gt;"", Datos_Cliente!$G$8,"NA")</f>
        <v xml:space="preserve">NOGAL </v>
      </c>
      <c r="AH231" s="278"/>
      <c r="AI231" s="278"/>
      <c r="AJ231" s="279"/>
    </row>
    <row r="232" spans="1:36" ht="14.1" customHeight="1" thickBot="1" x14ac:dyDescent="0.25">
      <c r="A232" s="328" t="s">
        <v>126</v>
      </c>
      <c r="B232" s="307"/>
      <c r="C232" s="307"/>
      <c r="D232" s="307"/>
      <c r="E232" s="329" t="str">
        <f>IF(Datos_Cliente!$G$5&lt;&gt;"", Datos_Cliente!$G$5,"NA")</f>
        <v xml:space="preserve">BACUM, SON. </v>
      </c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07" t="s">
        <v>127</v>
      </c>
      <c r="R232" s="307"/>
      <c r="S232" s="307"/>
      <c r="T232" s="329" t="str">
        <f>IF(Datos_Cliente!$G$9&lt;&gt;"", Datos_Cliente!$G$9,"NA")</f>
        <v xml:space="preserve">COSECHA </v>
      </c>
      <c r="U232" s="329"/>
      <c r="V232" s="329"/>
      <c r="W232" s="329"/>
      <c r="X232" s="329"/>
      <c r="Y232" s="329"/>
      <c r="Z232" s="329"/>
      <c r="AA232" s="307" t="s">
        <v>128</v>
      </c>
      <c r="AB232" s="307"/>
      <c r="AC232" s="307"/>
      <c r="AD232" s="307"/>
      <c r="AE232" s="307"/>
      <c r="AF232" s="307"/>
      <c r="AG232" s="308">
        <f>IF(Datos_Cliente!$C$5&lt;&gt;"", Datos_Cliente!$C$5,"NA")</f>
        <v>45922</v>
      </c>
      <c r="AH232" s="308"/>
      <c r="AI232" s="308"/>
      <c r="AJ232" s="309"/>
    </row>
    <row r="233" spans="1:36" ht="11.25" customHeight="1" thickBot="1" x14ac:dyDescent="0.25"/>
    <row r="234" spans="1:36" ht="15" customHeight="1" x14ac:dyDescent="0.2">
      <c r="A234" s="310" t="s">
        <v>129</v>
      </c>
      <c r="B234" s="310"/>
      <c r="C234" s="310"/>
      <c r="D234" s="310"/>
      <c r="E234" s="310"/>
      <c r="F234" s="310"/>
      <c r="G234" s="310"/>
      <c r="H234" s="310"/>
      <c r="I234" s="310"/>
      <c r="J234" s="310"/>
      <c r="K234" s="68"/>
      <c r="L234" s="214" t="str">
        <f>IF(Datos_Cliente!$C$27&lt;&gt;"",Datos_Cliente!$C$27,"NA")</f>
        <v>NA</v>
      </c>
      <c r="M234" s="215"/>
      <c r="N234" s="215"/>
      <c r="O234" s="216"/>
      <c r="P234" s="8"/>
      <c r="Q234" s="214" t="str">
        <f>IF(Datos_Cliente!$C$28&lt;&gt;"",Datos_Cliente!$C$28,"NA")</f>
        <v>NA</v>
      </c>
      <c r="R234" s="215"/>
      <c r="S234" s="215"/>
      <c r="T234" s="216"/>
      <c r="U234" s="8"/>
      <c r="V234" s="214" t="str">
        <f>IF(Datos_Cliente!$C$29&lt;&gt;"",Datos_Cliente!$C$29,"NA")</f>
        <v>NA</v>
      </c>
      <c r="W234" s="215"/>
      <c r="X234" s="215"/>
      <c r="Y234" s="216"/>
      <c r="Z234" s="8"/>
      <c r="AA234" s="214" t="str">
        <f>IF(Datos_Cliente!$C$30&lt;&gt;"",Datos_Cliente!$C$30,"NA")</f>
        <v>NA</v>
      </c>
      <c r="AB234" s="215"/>
      <c r="AC234" s="215"/>
      <c r="AD234" s="216"/>
    </row>
    <row r="235" spans="1:36" ht="15" customHeight="1" thickBot="1" x14ac:dyDescent="0.25">
      <c r="A235" s="311" t="s">
        <v>130</v>
      </c>
      <c r="B235" s="311"/>
      <c r="C235" s="311"/>
      <c r="D235" s="311"/>
      <c r="E235" s="311"/>
      <c r="F235" s="311"/>
      <c r="G235" s="311"/>
      <c r="H235" s="311"/>
      <c r="I235" s="311"/>
      <c r="J235" s="311"/>
      <c r="K235" s="68"/>
      <c r="L235" s="141" t="str">
        <f>IF(Datos_Cliente!$B$27&lt;&gt;"",Datos_Cliente!$B$27,"NA")</f>
        <v>NA</v>
      </c>
      <c r="M235" s="139"/>
      <c r="N235" s="139"/>
      <c r="O235" s="140"/>
      <c r="P235" s="95"/>
      <c r="Q235" s="141" t="str">
        <f>IF(Datos_Cliente!$B$28&lt;&gt;"",Datos_Cliente!$B$28,"NA")</f>
        <v>NA</v>
      </c>
      <c r="R235" s="139"/>
      <c r="S235" s="139"/>
      <c r="T235" s="140"/>
      <c r="U235" s="95"/>
      <c r="V235" s="141" t="str">
        <f>IF(Datos_Cliente!$B$29&lt;&gt;"",Datos_Cliente!$B$29,"NA")</f>
        <v>NA</v>
      </c>
      <c r="W235" s="139"/>
      <c r="X235" s="139"/>
      <c r="Y235" s="140"/>
      <c r="Z235" s="95"/>
      <c r="AA235" s="141" t="str">
        <f>IF(Datos_Cliente!$B$30&lt;&gt;"",Datos_Cliente!$B$30,"NA")</f>
        <v>NA</v>
      </c>
      <c r="AB235" s="139"/>
      <c r="AC235" s="139"/>
      <c r="AD235" s="140"/>
    </row>
    <row r="236" spans="1:36" ht="15" customHeight="1" x14ac:dyDescent="0.2">
      <c r="A236" s="177" t="s">
        <v>131</v>
      </c>
      <c r="B236" s="178"/>
      <c r="C236" s="178"/>
      <c r="D236" s="178"/>
      <c r="E236" s="178"/>
      <c r="F236" s="299"/>
      <c r="G236" s="300" t="s">
        <v>132</v>
      </c>
      <c r="H236" s="178"/>
      <c r="I236" s="178"/>
      <c r="J236" s="179"/>
      <c r="K236" s="4"/>
      <c r="L236" s="199" t="s">
        <v>133</v>
      </c>
      <c r="M236" s="200"/>
      <c r="N236" s="200"/>
      <c r="O236" s="201"/>
      <c r="P236" s="4"/>
      <c r="Q236" s="199" t="s">
        <v>133</v>
      </c>
      <c r="R236" s="200"/>
      <c r="S236" s="200"/>
      <c r="T236" s="201"/>
      <c r="U236" s="4"/>
      <c r="V236" s="199" t="s">
        <v>133</v>
      </c>
      <c r="W236" s="200"/>
      <c r="X236" s="200"/>
      <c r="Y236" s="201"/>
      <c r="Z236" s="4"/>
      <c r="AA236" s="199" t="s">
        <v>133</v>
      </c>
      <c r="AB236" s="200"/>
      <c r="AC236" s="200"/>
      <c r="AD236" s="201"/>
      <c r="AE236" s="1"/>
      <c r="AF236" s="177" t="s">
        <v>134</v>
      </c>
      <c r="AG236" s="178"/>
      <c r="AH236" s="178"/>
      <c r="AI236" s="178"/>
      <c r="AJ236" s="179"/>
    </row>
    <row r="237" spans="1:36" ht="15" customHeight="1" x14ac:dyDescent="0.2">
      <c r="A237" s="171" t="s">
        <v>135</v>
      </c>
      <c r="B237" s="172"/>
      <c r="C237" s="172"/>
      <c r="D237" s="172"/>
      <c r="E237" s="172"/>
      <c r="F237" s="172"/>
      <c r="G237" s="173" t="s">
        <v>136</v>
      </c>
      <c r="H237" s="174"/>
      <c r="I237" s="174"/>
      <c r="J237" s="175"/>
      <c r="L237" s="168" t="str">
        <f>IF(Lectura_Fert!L27&lt;&gt;"",(Lectura_Fert!L27*Lectura_Fert!$K$8*0.014*100)/Lectura_Fert!K27, "NA")</f>
        <v>NA</v>
      </c>
      <c r="M237" s="169"/>
      <c r="N237" s="169"/>
      <c r="O237" s="170"/>
      <c r="P237" s="8"/>
      <c r="Q237" s="165" t="str">
        <f>IF(Lectura_Fert!L28&lt;&gt;"",(Lectura_Fert!L28*Lectura_Fert!$K$8*0.014*100)/Lectura_Fert!K28, "NA")</f>
        <v>NA</v>
      </c>
      <c r="R237" s="166"/>
      <c r="S237" s="166"/>
      <c r="T237" s="167"/>
      <c r="U237" s="8"/>
      <c r="V237" s="165" t="str">
        <f>IF(Lectura_Fert!L29&lt;&gt;"",(Lectura_Fert!L29*Lectura_Fert!$K$8*0.014*100)/Lectura_Fert!K29, "NA")</f>
        <v>NA</v>
      </c>
      <c r="W237" s="166"/>
      <c r="X237" s="166"/>
      <c r="Y237" s="167"/>
      <c r="Z237" s="8"/>
      <c r="AA237" s="165" t="str">
        <f>IF(Lectura_Fert!L30&lt;&gt;"",(Lectura_Fert!L30*Lectura_Fert!$K$8*0.014*100)/Lectura_Fert!K30, "NA")</f>
        <v>NA</v>
      </c>
      <c r="AB237" s="166"/>
      <c r="AC237" s="166"/>
      <c r="AD237" s="167"/>
      <c r="AF237" s="168">
        <f>VLOOKUP(Datos_Cliente!$G$16,CULTIVOS!$A$2:$W$127,2,0)</f>
        <v>2.7</v>
      </c>
      <c r="AG237" s="169"/>
      <c r="AH237" s="86" t="s">
        <v>137</v>
      </c>
      <c r="AI237" s="169">
        <f>VLOOKUP(Datos_Cliente!$G$16,CULTIVOS!$A$2:$W$127,3,0)</f>
        <v>3.5</v>
      </c>
      <c r="AJ237" s="170"/>
    </row>
    <row r="238" spans="1:36" ht="15" customHeight="1" x14ac:dyDescent="0.2">
      <c r="A238" s="171" t="s">
        <v>138</v>
      </c>
      <c r="B238" s="172"/>
      <c r="C238" s="172"/>
      <c r="D238" s="172"/>
      <c r="E238" s="172"/>
      <c r="F238" s="176"/>
      <c r="G238" s="173" t="s">
        <v>136</v>
      </c>
      <c r="H238" s="174"/>
      <c r="I238" s="174"/>
      <c r="J238" s="175"/>
      <c r="L238" s="165" t="str">
        <f>IF(Lectura_Fert!R27&lt;&gt;"", Lectura_Fert!R27, "NA")</f>
        <v>NA</v>
      </c>
      <c r="M238" s="166"/>
      <c r="N238" s="166"/>
      <c r="O238" s="167"/>
      <c r="P238" s="8"/>
      <c r="Q238" s="165" t="str">
        <f>IF(Lectura_Fert!R28&lt;&gt;"", Lectura_Fert!R28, "NA")</f>
        <v>NA</v>
      </c>
      <c r="R238" s="166"/>
      <c r="S238" s="166"/>
      <c r="T238" s="167"/>
      <c r="U238" s="8"/>
      <c r="V238" s="165" t="str">
        <f>IF(Lectura_Fert!R29&lt;&gt;"", Lectura_Fert!R29, "NA")</f>
        <v>NA</v>
      </c>
      <c r="W238" s="166"/>
      <c r="X238" s="166"/>
      <c r="Y238" s="167"/>
      <c r="Z238" s="8"/>
      <c r="AA238" s="165" t="str">
        <f>IF(Lectura_Fert!R30&lt;&gt;"", Lectura_Fert!R30, "NA")</f>
        <v>NA</v>
      </c>
      <c r="AB238" s="166"/>
      <c r="AC238" s="166"/>
      <c r="AD238" s="167"/>
      <c r="AF238" s="168">
        <f>VLOOKUP(Datos_Cliente!$G$16,CULTIVOS!$A$2:$W$127,4,0)</f>
        <v>1</v>
      </c>
      <c r="AG238" s="169"/>
      <c r="AH238" s="86" t="s">
        <v>137</v>
      </c>
      <c r="AI238" s="169">
        <f>VLOOKUP(Datos_Cliente!$G$16,CULTIVOS!$A$2:$W$127,5,0)</f>
        <v>1.75</v>
      </c>
      <c r="AJ238" s="170"/>
    </row>
    <row r="239" spans="1:36" ht="15" customHeight="1" x14ac:dyDescent="0.2">
      <c r="A239" s="171" t="s">
        <v>139</v>
      </c>
      <c r="B239" s="172"/>
      <c r="C239" s="172"/>
      <c r="D239" s="172"/>
      <c r="E239" s="172"/>
      <c r="F239" s="176"/>
      <c r="G239" s="173" t="s">
        <v>136</v>
      </c>
      <c r="H239" s="174"/>
      <c r="I239" s="174"/>
      <c r="J239" s="175"/>
      <c r="L239" s="165" t="str">
        <f>IF(Lectura_Fert!S27&lt;&gt;"", Lectura_Fert!S27, "NA")</f>
        <v>NA</v>
      </c>
      <c r="M239" s="166"/>
      <c r="N239" s="166"/>
      <c r="O239" s="167"/>
      <c r="P239" s="8"/>
      <c r="Q239" s="165" t="str">
        <f>IF(Lectura_Fert!S28&lt;&gt;"", Lectura_Fert!S28, "NA")</f>
        <v>NA</v>
      </c>
      <c r="R239" s="166"/>
      <c r="S239" s="166"/>
      <c r="T239" s="167"/>
      <c r="U239" s="8"/>
      <c r="V239" s="165" t="str">
        <f>IF(Lectura_Fert!S29&lt;&gt;"", Lectura_Fert!S29, "NA")</f>
        <v>NA</v>
      </c>
      <c r="W239" s="166"/>
      <c r="X239" s="166"/>
      <c r="Y239" s="167"/>
      <c r="Z239" s="8"/>
      <c r="AA239" s="165" t="str">
        <f>IF(Lectura_Fert!S30&lt;&gt;"", Lectura_Fert!S30, "NA")</f>
        <v>NA</v>
      </c>
      <c r="AB239" s="166"/>
      <c r="AC239" s="166"/>
      <c r="AD239" s="167"/>
      <c r="AF239" s="168">
        <f>VLOOKUP(Datos_Cliente!$G$16,CULTIVOS!$A$2:$W$127,6,0)</f>
        <v>0.3</v>
      </c>
      <c r="AG239" s="169"/>
      <c r="AH239" s="86" t="s">
        <v>137</v>
      </c>
      <c r="AI239" s="169">
        <f>VLOOKUP(Datos_Cliente!$G$16,CULTIVOS!$A$2:$W$127,7,0)</f>
        <v>0.6</v>
      </c>
      <c r="AJ239" s="170"/>
    </row>
    <row r="240" spans="1:36" ht="15" customHeight="1" x14ac:dyDescent="0.2">
      <c r="A240" s="171" t="s">
        <v>140</v>
      </c>
      <c r="B240" s="172"/>
      <c r="C240" s="172"/>
      <c r="D240" s="172"/>
      <c r="E240" s="172"/>
      <c r="F240" s="176"/>
      <c r="G240" s="173" t="s">
        <v>136</v>
      </c>
      <c r="H240" s="174"/>
      <c r="I240" s="174"/>
      <c r="J240" s="175"/>
      <c r="L240" s="165" t="str">
        <f>IF(Lectura_Fert!Y72&lt;&gt;"", (((Lectura_Fert!Y27-Lectura_Fert!$Y$10)*Lectura_Fert!$T27*Lectura_Fert!$U27))/10000, "NA")</f>
        <v>NA</v>
      </c>
      <c r="M240" s="166"/>
      <c r="N240" s="166"/>
      <c r="O240" s="167"/>
      <c r="P240" s="8"/>
      <c r="Q240" s="165" t="str">
        <f>IF(Lectura_Fert!Y28&lt;&gt;"", (((Lectura_Fert!Y28-Lectura_Fert!$Y$10)*Lectura_Fert!$T28*Lectura_Fert!$U28))/10000, "NA")</f>
        <v>NA</v>
      </c>
      <c r="R240" s="166"/>
      <c r="S240" s="166"/>
      <c r="T240" s="167"/>
      <c r="U240" s="8"/>
      <c r="V240" s="165" t="str">
        <f>IF(Lectura_Fert!Y29&lt;&gt;"", (((Lectura_Fert!Y29-Lectura_Fert!$Y$10)*Lectura_Fert!$T29*Lectura_Fert!$U29))/10000, "NA")</f>
        <v>NA</v>
      </c>
      <c r="W240" s="166"/>
      <c r="X240" s="166"/>
      <c r="Y240" s="167"/>
      <c r="Z240" s="8"/>
      <c r="AA240" s="165" t="str">
        <f>IF(Lectura_Fert!Y30&lt;&gt;"", (((Lectura_Fert!Y30-Lectura_Fert!$Y$10)*Lectura_Fert!$T30*Lectura_Fert!$U30))/10000, "NA")</f>
        <v>NA</v>
      </c>
      <c r="AB240" s="166"/>
      <c r="AC240" s="166"/>
      <c r="AD240" s="167"/>
      <c r="AF240" s="168">
        <f>VLOOKUP(Datos_Cliente!$G$16,CULTIVOS!$A$2:$W$127,8,0)</f>
        <v>1.25</v>
      </c>
      <c r="AG240" s="169"/>
      <c r="AH240" s="86" t="s">
        <v>137</v>
      </c>
      <c r="AI240" s="169">
        <f>VLOOKUP(Datos_Cliente!$G$16,CULTIVOS!$A$2:$W$127,9,0)</f>
        <v>2.5</v>
      </c>
      <c r="AJ240" s="170"/>
    </row>
    <row r="241" spans="1:36" ht="15" customHeight="1" x14ac:dyDescent="0.2">
      <c r="A241" s="171" t="s">
        <v>141</v>
      </c>
      <c r="B241" s="172"/>
      <c r="C241" s="172"/>
      <c r="D241" s="172"/>
      <c r="E241" s="172"/>
      <c r="F241" s="176"/>
      <c r="G241" s="173" t="s">
        <v>136</v>
      </c>
      <c r="H241" s="174"/>
      <c r="I241" s="174"/>
      <c r="J241" s="175"/>
      <c r="L241" s="165" t="str">
        <f>IF(Lectura_Fert!J27&lt;&gt;"", (VLOOKUP(Lectura_Fert!J27,P_Aprov!$A$2:$B$193,2)*(100/Lectura_Fert!H27)*(50/Lectura_Fert!I27))/10000, "NA")</f>
        <v>NA</v>
      </c>
      <c r="M241" s="166"/>
      <c r="N241" s="166"/>
      <c r="O241" s="167"/>
      <c r="P241" s="8"/>
      <c r="Q241" s="165" t="str">
        <f>IF(Lectura_Fert!J28&lt;&gt;"", (VLOOKUP(Lectura_Fert!J28,P_Aprov!$A$2:$B$193,2)*(100/Lectura_Fert!H28)*(50/Lectura_Fert!I28))/10000, "NA")</f>
        <v>NA</v>
      </c>
      <c r="R241" s="166"/>
      <c r="S241" s="166"/>
      <c r="T241" s="167"/>
      <c r="U241" s="8"/>
      <c r="V241" s="165" t="str">
        <f>IF(Lectura_Fert!J29&lt;&gt;"", (VLOOKUP(Lectura_Fert!J29,P_Aprov!$A$2:$B$193,2)*(100/Lectura_Fert!H29)*(50/Lectura_Fert!I29))/10000, "NA")</f>
        <v>NA</v>
      </c>
      <c r="W241" s="166"/>
      <c r="X241" s="166"/>
      <c r="Y241" s="167"/>
      <c r="Z241" s="8"/>
      <c r="AA241" s="165" t="str">
        <f>IF(Lectura_Fert!J30&lt;&gt;"", (VLOOKUP(Lectura_Fert!J30,P_Aprov!$A$2:$B$193,2)*(100/Lectura_Fert!H30)*(50/Lectura_Fert!I30))/10000, "NA")</f>
        <v>NA</v>
      </c>
      <c r="AB241" s="166"/>
      <c r="AC241" s="166"/>
      <c r="AD241" s="167"/>
      <c r="AF241" s="168">
        <f>VLOOKUP(Datos_Cliente!$G$16,CULTIVOS!$A$2:$W$127,10,0)</f>
        <v>0.14000000000000001</v>
      </c>
      <c r="AG241" s="169"/>
      <c r="AH241" s="86" t="s">
        <v>137</v>
      </c>
      <c r="AI241" s="169">
        <f>VLOOKUP(Datos_Cliente!$G$16,CULTIVOS!$A$2:$W$127,11,0)</f>
        <v>0.3</v>
      </c>
      <c r="AJ241" s="170"/>
    </row>
    <row r="242" spans="1:36" ht="15" customHeight="1" x14ac:dyDescent="0.2">
      <c r="A242" s="171" t="s">
        <v>151</v>
      </c>
      <c r="B242" s="172"/>
      <c r="C242" s="172"/>
      <c r="D242" s="172"/>
      <c r="E242" s="172"/>
      <c r="F242" s="176"/>
      <c r="G242" s="173" t="s">
        <v>142</v>
      </c>
      <c r="H242" s="174"/>
      <c r="I242" s="174"/>
      <c r="J242" s="175"/>
      <c r="L242" s="165" t="str">
        <f>IF(Lectura_Fert!Q27&lt;&gt;"", VLOOKUP(Lectura_Fert!Q27,'N-NO3'!$A$2:$B$187,2)*(Lectura_Fert!N27/Lectura_Fert!M27)*(Lectura_Fert!P27/Lectura_Fert!O27), "NA")</f>
        <v>NA</v>
      </c>
      <c r="M242" s="166"/>
      <c r="N242" s="166"/>
      <c r="O242" s="167"/>
      <c r="P242" s="8"/>
      <c r="Q242" s="165" t="str">
        <f>IF(Lectura_Fert!Q28&lt;&gt;"", VLOOKUP(Lectura_Fert!Q28,'N-NO3'!$A$2:$B$187,2)*(Lectura_Fert!N28/Lectura_Fert!M28)*(Lectura_Fert!P28/Lectura_Fert!O28), "NA")</f>
        <v>NA</v>
      </c>
      <c r="R242" s="166"/>
      <c r="S242" s="166"/>
      <c r="T242" s="167"/>
      <c r="U242" s="8"/>
      <c r="V242" s="165" t="str">
        <f>IF(Lectura_Fert!Q29&lt;&gt;"", VLOOKUP(Lectura_Fert!Q29,'N-NO3'!$A$2:$B$187,2)*(Lectura_Fert!N29/Lectura_Fert!M29)*(Lectura_Fert!P29/Lectura_Fert!O29), "NA")</f>
        <v>NA</v>
      </c>
      <c r="W242" s="166"/>
      <c r="X242" s="166"/>
      <c r="Y242" s="167"/>
      <c r="Z242" s="8"/>
      <c r="AA242" s="165" t="str">
        <f>IF(Lectura_Fert!Q30&lt;&gt;"", VLOOKUP(Lectura_Fert!Q30,'N-NO3'!$A$2:$B$187,2)*(Lectura_Fert!N30/Lectura_Fert!M30)*(Lectura_Fert!P30/Lectura_Fert!O30), "NA")</f>
        <v>NA</v>
      </c>
      <c r="AB242" s="166"/>
      <c r="AC242" s="166"/>
      <c r="AD242" s="167"/>
      <c r="AF242" s="168">
        <f>VLOOKUP(Datos_Cliente!$G$16,CULTIVOS!$A$2:$W$127,12,0)</f>
        <v>0</v>
      </c>
      <c r="AG242" s="169"/>
      <c r="AH242" s="86" t="s">
        <v>137</v>
      </c>
      <c r="AI242" s="169">
        <f>VLOOKUP(Datos_Cliente!$G$16,CULTIVOS!$A$2:$W$127,13,0)</f>
        <v>0</v>
      </c>
      <c r="AJ242" s="170"/>
    </row>
    <row r="243" spans="1:36" ht="15" customHeight="1" x14ac:dyDescent="0.2">
      <c r="A243" s="199" t="s">
        <v>143</v>
      </c>
      <c r="B243" s="200"/>
      <c r="C243" s="200"/>
      <c r="D243" s="200"/>
      <c r="E243" s="200"/>
      <c r="F243" s="330"/>
      <c r="G243" s="327" t="s">
        <v>132</v>
      </c>
      <c r="H243" s="200"/>
      <c r="I243" s="200"/>
      <c r="J243" s="201"/>
      <c r="K243" s="1"/>
      <c r="L243" s="199" t="s">
        <v>133</v>
      </c>
      <c r="M243" s="200"/>
      <c r="N243" s="200"/>
      <c r="O243" s="201"/>
      <c r="P243" s="4"/>
      <c r="Q243" s="199" t="s">
        <v>133</v>
      </c>
      <c r="R243" s="200"/>
      <c r="S243" s="200"/>
      <c r="T243" s="201"/>
      <c r="U243" s="4"/>
      <c r="V243" s="199" t="s">
        <v>133</v>
      </c>
      <c r="W243" s="200"/>
      <c r="X243" s="200"/>
      <c r="Y243" s="201"/>
      <c r="Z243" s="4"/>
      <c r="AA243" s="199" t="s">
        <v>133</v>
      </c>
      <c r="AB243" s="200"/>
      <c r="AC243" s="200"/>
      <c r="AD243" s="201"/>
      <c r="AF243" s="168"/>
      <c r="AG243" s="169"/>
      <c r="AH243" s="86"/>
      <c r="AI243" s="169"/>
      <c r="AJ243" s="170"/>
    </row>
    <row r="244" spans="1:36" ht="15" customHeight="1" x14ac:dyDescent="0.2">
      <c r="A244" s="171" t="s">
        <v>144</v>
      </c>
      <c r="B244" s="172"/>
      <c r="C244" s="172"/>
      <c r="D244" s="172"/>
      <c r="E244" s="172"/>
      <c r="F244" s="176"/>
      <c r="G244" s="173" t="s">
        <v>142</v>
      </c>
      <c r="H244" s="174"/>
      <c r="I244" s="174"/>
      <c r="J244" s="175"/>
      <c r="L244" s="165" t="str">
        <f>IF(Lectura_Fert!E27&lt;&gt;"", Lectura_Fert!E27, "NA")</f>
        <v>NA</v>
      </c>
      <c r="M244" s="166"/>
      <c r="N244" s="166"/>
      <c r="O244" s="167"/>
      <c r="P244" s="8"/>
      <c r="Q244" s="165" t="str">
        <f>IF(Lectura_Fert!E28&lt;&gt;"", Lectura_Fert!E28, "NA")</f>
        <v>NA</v>
      </c>
      <c r="R244" s="166"/>
      <c r="S244" s="166"/>
      <c r="T244" s="167"/>
      <c r="U244" s="8"/>
      <c r="V244" s="165" t="str">
        <f>IF(Lectura_Fert!E29&lt;&gt;"", Lectura_Fert!E29, "NA")</f>
        <v>NA</v>
      </c>
      <c r="W244" s="166"/>
      <c r="X244" s="166"/>
      <c r="Y244" s="167"/>
      <c r="Z244" s="8"/>
      <c r="AA244" s="165" t="str">
        <f>IF(Lectura_Fert!E30&lt;&gt;"", Lectura_Fert!E30, "NA")</f>
        <v>NA</v>
      </c>
      <c r="AB244" s="166"/>
      <c r="AC244" s="166"/>
      <c r="AD244" s="167"/>
      <c r="AF244" s="168">
        <f>VLOOKUP(Datos_Cliente!$G$16,CULTIVOS!$A$2:$W$127,14,0)</f>
        <v>50</v>
      </c>
      <c r="AG244" s="169"/>
      <c r="AH244" s="70" t="s">
        <v>137</v>
      </c>
      <c r="AI244" s="169">
        <f>VLOOKUP(Datos_Cliente!$G$16,CULTIVOS!$A$2:$W$127,15,0)</f>
        <v>300</v>
      </c>
      <c r="AJ244" s="170"/>
    </row>
    <row r="245" spans="1:36" ht="15" customHeight="1" x14ac:dyDescent="0.2">
      <c r="A245" s="171" t="s">
        <v>145</v>
      </c>
      <c r="B245" s="172"/>
      <c r="C245" s="172"/>
      <c r="D245" s="172"/>
      <c r="E245" s="172"/>
      <c r="F245" s="176"/>
      <c r="G245" s="173" t="s">
        <v>142</v>
      </c>
      <c r="H245" s="174"/>
      <c r="I245" s="174"/>
      <c r="J245" s="175"/>
      <c r="L245" s="165" t="str">
        <f>IF(Lectura_Fert!D27&lt;&gt;"", Lectura_Fert!D27, "NA")</f>
        <v>NA</v>
      </c>
      <c r="M245" s="166"/>
      <c r="N245" s="166"/>
      <c r="O245" s="167"/>
      <c r="P245" s="8"/>
      <c r="Q245" s="165" t="str">
        <f>IF(Lectura_Fert!D28&lt;&gt;"", Lectura_Fert!D28, "NA")</f>
        <v>NA</v>
      </c>
      <c r="R245" s="166"/>
      <c r="S245" s="166"/>
      <c r="T245" s="167"/>
      <c r="U245" s="8"/>
      <c r="V245" s="165" t="str">
        <f>IF(Lectura_Fert!D29&lt;&gt;"", Lectura_Fert!D29, "NA")</f>
        <v>NA</v>
      </c>
      <c r="W245" s="166"/>
      <c r="X245" s="166"/>
      <c r="Y245" s="167"/>
      <c r="Z245" s="8"/>
      <c r="AA245" s="165" t="str">
        <f>IF(Lectura_Fert!D30&lt;&gt;"", Lectura_Fert!D30, "NA")</f>
        <v>NA</v>
      </c>
      <c r="AB245" s="166"/>
      <c r="AC245" s="166"/>
      <c r="AD245" s="167"/>
      <c r="AF245" s="168">
        <f>VLOOKUP(Datos_Cliente!$G$16,CULTIVOS!$A$2:$W$127,16,0)</f>
        <v>80</v>
      </c>
      <c r="AG245" s="169"/>
      <c r="AH245" s="86" t="s">
        <v>137</v>
      </c>
      <c r="AI245" s="169">
        <f>VLOOKUP(Datos_Cliente!$G$16,CULTIVOS!$A$2:$W$127,17,0)</f>
        <v>300</v>
      </c>
      <c r="AJ245" s="170"/>
    </row>
    <row r="246" spans="1:36" ht="15" customHeight="1" x14ac:dyDescent="0.2">
      <c r="A246" s="171" t="s">
        <v>146</v>
      </c>
      <c r="B246" s="172"/>
      <c r="C246" s="172"/>
      <c r="D246" s="172"/>
      <c r="E246" s="172"/>
      <c r="F246" s="176"/>
      <c r="G246" s="173" t="s">
        <v>142</v>
      </c>
      <c r="H246" s="174"/>
      <c r="I246" s="174"/>
      <c r="J246" s="175"/>
      <c r="L246" s="165" t="str">
        <f>IF(Lectura_Fert!F27&lt;&gt;"", Lectura_Fert!F27, "NA")</f>
        <v>NA</v>
      </c>
      <c r="M246" s="166"/>
      <c r="N246" s="166"/>
      <c r="O246" s="167"/>
      <c r="P246" s="8"/>
      <c r="Q246" s="165" t="str">
        <f>IF(Lectura_Fert!F28&lt;&gt;"", Lectura_Fert!F28, "NA")</f>
        <v>NA</v>
      </c>
      <c r="R246" s="166"/>
      <c r="S246" s="166"/>
      <c r="T246" s="167"/>
      <c r="U246" s="8"/>
      <c r="V246" s="165" t="str">
        <f>IF(Lectura_Fert!F29&lt;&gt;"", Lectura_Fert!F29, "NA")</f>
        <v>NA</v>
      </c>
      <c r="W246" s="166"/>
      <c r="X246" s="166"/>
      <c r="Y246" s="167"/>
      <c r="Z246" s="8"/>
      <c r="AA246" s="165" t="str">
        <f>IF(Lectura_Fert!F30&lt;&gt;"", Lectura_Fert!F30, "NA")</f>
        <v>NA</v>
      </c>
      <c r="AB246" s="166"/>
      <c r="AC246" s="166"/>
      <c r="AD246" s="167"/>
      <c r="AF246" s="168">
        <f>VLOOKUP(Datos_Cliente!$G$16,CULTIVOS!$A$2:$W$127,18,0)</f>
        <v>50</v>
      </c>
      <c r="AG246" s="169"/>
      <c r="AH246" s="86" t="s">
        <v>137</v>
      </c>
      <c r="AI246" s="169">
        <f>VLOOKUP(Datos_Cliente!$G$16,CULTIVOS!$A$2:$W$127,19,0)</f>
        <v>100</v>
      </c>
      <c r="AJ246" s="170"/>
    </row>
    <row r="247" spans="1:36" ht="15" customHeight="1" x14ac:dyDescent="0.2">
      <c r="A247" s="171" t="s">
        <v>147</v>
      </c>
      <c r="B247" s="172"/>
      <c r="C247" s="172"/>
      <c r="D247" s="172"/>
      <c r="E247" s="172"/>
      <c r="F247" s="176"/>
      <c r="G247" s="173" t="s">
        <v>142</v>
      </c>
      <c r="H247" s="174"/>
      <c r="I247" s="174"/>
      <c r="J247" s="175"/>
      <c r="L247" s="165" t="str">
        <f>IF(Lectura_Fert!C27&lt;&gt;"", Lectura_Fert!C27, "NA")</f>
        <v>NA</v>
      </c>
      <c r="M247" s="166"/>
      <c r="N247" s="166"/>
      <c r="O247" s="167"/>
      <c r="P247" s="8"/>
      <c r="Q247" s="165" t="str">
        <f>IF(Lectura_Fert!C28&lt;&gt;"", Lectura_Fert!C28, "NA")</f>
        <v>NA</v>
      </c>
      <c r="R247" s="166"/>
      <c r="S247" s="166"/>
      <c r="T247" s="167"/>
      <c r="U247" s="8"/>
      <c r="V247" s="165" t="str">
        <f>IF(Lectura_Fert!C29&lt;&gt;"", Lectura_Fert!C29, "NA")</f>
        <v>NA</v>
      </c>
      <c r="W247" s="166"/>
      <c r="X247" s="166"/>
      <c r="Y247" s="167"/>
      <c r="Z247" s="8"/>
      <c r="AA247" s="165" t="str">
        <f>IF(Lectura_Fert!C30&lt;&gt;"", Lectura_Fert!C30, "NA")</f>
        <v>NA</v>
      </c>
      <c r="AB247" s="166"/>
      <c r="AC247" s="166"/>
      <c r="AD247" s="167"/>
      <c r="AF247" s="168">
        <f>VLOOKUP(Datos_Cliente!$G$16,CULTIVOS!$A$2:$W$127,20,0)</f>
        <v>6</v>
      </c>
      <c r="AG247" s="169"/>
      <c r="AH247" s="86" t="s">
        <v>137</v>
      </c>
      <c r="AI247" s="169">
        <f>VLOOKUP(Datos_Cliente!$G$16,CULTIVOS!$A$2:$W$127,21,0)</f>
        <v>30</v>
      </c>
      <c r="AJ247" s="170"/>
    </row>
    <row r="248" spans="1:36" ht="15" customHeight="1" thickBot="1" x14ac:dyDescent="0.25">
      <c r="A248" s="315" t="s">
        <v>148</v>
      </c>
      <c r="B248" s="316"/>
      <c r="C248" s="316"/>
      <c r="D248" s="316"/>
      <c r="E248" s="316"/>
      <c r="F248" s="317"/>
      <c r="G248" s="318" t="s">
        <v>142</v>
      </c>
      <c r="H248" s="319"/>
      <c r="I248" s="319"/>
      <c r="J248" s="320"/>
      <c r="L248" s="321" t="str">
        <f>IF(Lectura_Fert!G27&lt;&gt;"", VLOOKUP(Lectura_Fert!G27,Boro!$A$2:$C$194,3)*400, "NA")</f>
        <v>NA</v>
      </c>
      <c r="M248" s="322"/>
      <c r="N248" s="322"/>
      <c r="O248" s="323"/>
      <c r="P248" s="8"/>
      <c r="Q248" s="321" t="str">
        <f>IF(Lectura_Fert!G28&lt;&gt;"", VLOOKUP(Lectura_Fert!G28,Boro!$A$2:$C$194,3)*400, "NA")</f>
        <v>NA</v>
      </c>
      <c r="R248" s="322"/>
      <c r="S248" s="322"/>
      <c r="T248" s="323"/>
      <c r="U248" s="8"/>
      <c r="V248" s="321" t="str">
        <f>IF(Lectura_Fert!G29&lt;&gt;"", VLOOKUP(Lectura_Fert!G29,Boro!$A$2:$C$194,3)*400, "NA")</f>
        <v>NA</v>
      </c>
      <c r="W248" s="322"/>
      <c r="X248" s="322"/>
      <c r="Y248" s="323"/>
      <c r="Z248" s="8"/>
      <c r="AA248" s="321" t="str">
        <f>IF(Lectura_Fert!G30&lt;&gt;"", VLOOKUP(Lectura_Fert!G30,Boro!$A$2:$C$194,3)*400, "NA")</f>
        <v>NA</v>
      </c>
      <c r="AB248" s="322"/>
      <c r="AC248" s="322"/>
      <c r="AD248" s="323"/>
      <c r="AF248" s="324">
        <f>VLOOKUP(Datos_Cliente!$G$16,CULTIVOS!$A$2:$W$127,22,0)</f>
        <v>15</v>
      </c>
      <c r="AG248" s="325"/>
      <c r="AH248" s="88" t="s">
        <v>137</v>
      </c>
      <c r="AI248" s="325">
        <f>VLOOKUP(Datos_Cliente!$G$16,CULTIVOS!$A$2:$W$127,23,0)</f>
        <v>50</v>
      </c>
      <c r="AJ248" s="326"/>
    </row>
    <row r="249" spans="1:36" ht="14.1" customHeight="1" x14ac:dyDescent="0.2"/>
    <row r="250" spans="1:36" ht="14.1" customHeight="1" x14ac:dyDescent="0.2"/>
    <row r="251" spans="1:36" ht="14.1" customHeight="1" thickBot="1" x14ac:dyDescent="0.25"/>
    <row r="252" spans="1:36" ht="14.1" customHeight="1" thickBot="1" x14ac:dyDescent="0.3">
      <c r="A252" s="312" t="s">
        <v>149</v>
      </c>
      <c r="B252" s="313"/>
      <c r="C252" s="313"/>
      <c r="D252" s="313"/>
      <c r="E252" s="313"/>
      <c r="F252" s="313"/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  <c r="T252" s="313"/>
      <c r="U252" s="313"/>
      <c r="V252" s="313"/>
      <c r="W252" s="313"/>
      <c r="X252" s="313"/>
      <c r="Y252" s="313"/>
      <c r="Z252" s="313"/>
      <c r="AA252" s="313"/>
      <c r="AB252" s="313"/>
      <c r="AC252" s="313"/>
      <c r="AD252" s="313"/>
      <c r="AE252" s="313"/>
      <c r="AF252" s="313"/>
      <c r="AG252" s="313"/>
      <c r="AH252" s="313"/>
      <c r="AI252" s="313"/>
      <c r="AJ252" s="314"/>
    </row>
    <row r="253" spans="1:36" ht="14.1" customHeight="1" x14ac:dyDescent="0.2">
      <c r="A253" s="36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7"/>
    </row>
    <row r="254" spans="1:36" ht="14.1" customHeight="1" x14ac:dyDescent="0.2">
      <c r="A254" s="301"/>
      <c r="B254" s="302"/>
      <c r="C254" s="302"/>
      <c r="D254" s="302"/>
      <c r="E254" s="302"/>
      <c r="F254" s="302"/>
      <c r="G254" s="302"/>
      <c r="H254" s="302"/>
      <c r="I254" s="302"/>
      <c r="J254" s="302"/>
      <c r="K254" s="302"/>
      <c r="L254" s="302"/>
      <c r="M254" s="302"/>
      <c r="N254" s="302"/>
      <c r="O254" s="302"/>
      <c r="P254" s="302"/>
      <c r="Q254" s="302"/>
      <c r="R254" s="302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3"/>
    </row>
    <row r="255" spans="1:36" ht="14.1" customHeight="1" x14ac:dyDescent="0.2">
      <c r="A255" s="301"/>
      <c r="B255" s="302"/>
      <c r="C255" s="302"/>
      <c r="D255" s="302"/>
      <c r="E255" s="302"/>
      <c r="F255" s="302"/>
      <c r="G255" s="302"/>
      <c r="H255" s="302"/>
      <c r="I255" s="302"/>
      <c r="J255" s="302"/>
      <c r="K255" s="302"/>
      <c r="L255" s="302"/>
      <c r="M255" s="302"/>
      <c r="N255" s="302"/>
      <c r="O255" s="302"/>
      <c r="P255" s="302"/>
      <c r="Q255" s="302"/>
      <c r="R255" s="302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3"/>
    </row>
    <row r="256" spans="1:36" ht="14.1" customHeight="1" x14ac:dyDescent="0.2">
      <c r="A256" s="301"/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3"/>
    </row>
    <row r="257" spans="1:36" ht="14.1" customHeight="1" x14ac:dyDescent="0.2">
      <c r="A257" s="301"/>
      <c r="B257" s="302"/>
      <c r="C257" s="302"/>
      <c r="D257" s="302"/>
      <c r="E257" s="302"/>
      <c r="F257" s="302"/>
      <c r="G257" s="302"/>
      <c r="H257" s="302"/>
      <c r="I257" s="302"/>
      <c r="J257" s="302"/>
      <c r="K257" s="302"/>
      <c r="L257" s="302"/>
      <c r="M257" s="302"/>
      <c r="N257" s="302"/>
      <c r="O257" s="302"/>
      <c r="P257" s="302"/>
      <c r="Q257" s="302"/>
      <c r="R257" s="302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3"/>
    </row>
    <row r="258" spans="1:36" ht="14.1" customHeight="1" x14ac:dyDescent="0.2">
      <c r="A258" s="301"/>
      <c r="B258" s="302"/>
      <c r="C258" s="302"/>
      <c r="D258" s="302"/>
      <c r="E258" s="302"/>
      <c r="F258" s="302"/>
      <c r="G258" s="302"/>
      <c r="H258" s="302"/>
      <c r="I258" s="302"/>
      <c r="J258" s="302"/>
      <c r="K258" s="302"/>
      <c r="L258" s="302"/>
      <c r="M258" s="302"/>
      <c r="N258" s="302"/>
      <c r="O258" s="302"/>
      <c r="P258" s="302"/>
      <c r="Q258" s="302"/>
      <c r="R258" s="302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3"/>
    </row>
    <row r="259" spans="1:36" ht="14.1" customHeight="1" x14ac:dyDescent="0.2">
      <c r="A259" s="301"/>
      <c r="B259" s="302"/>
      <c r="C259" s="302"/>
      <c r="D259" s="302"/>
      <c r="E259" s="302"/>
      <c r="F259" s="302"/>
      <c r="G259" s="302"/>
      <c r="H259" s="302"/>
      <c r="I259" s="302"/>
      <c r="J259" s="302"/>
      <c r="K259" s="302"/>
      <c r="L259" s="302"/>
      <c r="M259" s="302"/>
      <c r="N259" s="302"/>
      <c r="O259" s="302"/>
      <c r="P259" s="302"/>
      <c r="Q259" s="302"/>
      <c r="R259" s="302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  <c r="AF259" s="302"/>
      <c r="AG259" s="302"/>
      <c r="AH259" s="302"/>
      <c r="AI259" s="302"/>
      <c r="AJ259" s="303"/>
    </row>
    <row r="260" spans="1:36" ht="14.1" customHeight="1" x14ac:dyDescent="0.2">
      <c r="A260" s="301"/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3"/>
    </row>
    <row r="261" spans="1:36" ht="14.1" customHeight="1" x14ac:dyDescent="0.2">
      <c r="A261" s="301"/>
      <c r="B261" s="302"/>
      <c r="C261" s="302"/>
      <c r="D261" s="302"/>
      <c r="E261" s="302"/>
      <c r="F261" s="302"/>
      <c r="G261" s="302"/>
      <c r="H261" s="302"/>
      <c r="I261" s="302"/>
      <c r="J261" s="302"/>
      <c r="K261" s="302"/>
      <c r="L261" s="302"/>
      <c r="M261" s="302"/>
      <c r="N261" s="302"/>
      <c r="O261" s="302"/>
      <c r="P261" s="302"/>
      <c r="Q261" s="302"/>
      <c r="R261" s="302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2"/>
      <c r="AE261" s="302"/>
      <c r="AF261" s="302"/>
      <c r="AG261" s="302"/>
      <c r="AH261" s="302"/>
      <c r="AI261" s="302"/>
      <c r="AJ261" s="303"/>
    </row>
    <row r="262" spans="1:36" ht="14.1" customHeight="1" x14ac:dyDescent="0.2">
      <c r="A262" s="301"/>
      <c r="B262" s="302"/>
      <c r="C262" s="302"/>
      <c r="D262" s="302"/>
      <c r="E262" s="302"/>
      <c r="F262" s="302"/>
      <c r="G262" s="302"/>
      <c r="H262" s="302"/>
      <c r="I262" s="302"/>
      <c r="J262" s="302"/>
      <c r="K262" s="302"/>
      <c r="L262" s="302"/>
      <c r="M262" s="302"/>
      <c r="N262" s="302"/>
      <c r="O262" s="302"/>
      <c r="P262" s="302"/>
      <c r="Q262" s="302"/>
      <c r="R262" s="302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3"/>
    </row>
    <row r="263" spans="1:36" ht="14.1" customHeight="1" x14ac:dyDescent="0.2">
      <c r="A263" s="301"/>
      <c r="B263" s="302"/>
      <c r="C263" s="302"/>
      <c r="D263" s="302"/>
      <c r="E263" s="302"/>
      <c r="F263" s="302"/>
      <c r="G263" s="302"/>
      <c r="H263" s="302"/>
      <c r="I263" s="302"/>
      <c r="J263" s="302"/>
      <c r="K263" s="302"/>
      <c r="L263" s="302"/>
      <c r="M263" s="302"/>
      <c r="N263" s="302"/>
      <c r="O263" s="302"/>
      <c r="P263" s="302"/>
      <c r="Q263" s="302"/>
      <c r="R263" s="302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3"/>
    </row>
    <row r="264" spans="1:36" ht="14.1" customHeight="1" x14ac:dyDescent="0.2">
      <c r="A264" s="301"/>
      <c r="B264" s="302"/>
      <c r="C264" s="302"/>
      <c r="D264" s="302"/>
      <c r="E264" s="302"/>
      <c r="F264" s="302"/>
      <c r="G264" s="302"/>
      <c r="H264" s="302"/>
      <c r="I264" s="302"/>
      <c r="J264" s="302"/>
      <c r="K264" s="302"/>
      <c r="L264" s="302"/>
      <c r="M264" s="302"/>
      <c r="N264" s="302"/>
      <c r="O264" s="302"/>
      <c r="P264" s="302"/>
      <c r="Q264" s="302"/>
      <c r="R264" s="302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3"/>
    </row>
    <row r="265" spans="1:36" ht="14.1" customHeight="1" x14ac:dyDescent="0.2">
      <c r="A265" s="301"/>
      <c r="B265" s="302"/>
      <c r="C265" s="302"/>
      <c r="D265" s="302"/>
      <c r="E265" s="302"/>
      <c r="F265" s="302"/>
      <c r="G265" s="302"/>
      <c r="H265" s="302"/>
      <c r="I265" s="302"/>
      <c r="J265" s="302"/>
      <c r="K265" s="302"/>
      <c r="L265" s="302"/>
      <c r="M265" s="302"/>
      <c r="N265" s="302"/>
      <c r="O265" s="302"/>
      <c r="P265" s="302"/>
      <c r="Q265" s="302"/>
      <c r="R265" s="302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3"/>
    </row>
    <row r="266" spans="1:36" ht="14.1" customHeight="1" x14ac:dyDescent="0.2">
      <c r="A266" s="301"/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3"/>
    </row>
    <row r="267" spans="1:36" ht="14.1" customHeight="1" x14ac:dyDescent="0.2">
      <c r="A267" s="301"/>
      <c r="B267" s="302"/>
      <c r="C267" s="302"/>
      <c r="D267" s="302"/>
      <c r="E267" s="302"/>
      <c r="F267" s="302"/>
      <c r="G267" s="302"/>
      <c r="H267" s="302"/>
      <c r="I267" s="302"/>
      <c r="J267" s="302"/>
      <c r="K267" s="302"/>
      <c r="L267" s="302"/>
      <c r="M267" s="302"/>
      <c r="N267" s="302"/>
      <c r="O267" s="302"/>
      <c r="P267" s="302"/>
      <c r="Q267" s="302"/>
      <c r="R267" s="302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3"/>
    </row>
    <row r="268" spans="1:36" ht="14.1" customHeight="1" thickBot="1" x14ac:dyDescent="0.25">
      <c r="A268" s="304"/>
      <c r="B268" s="305"/>
      <c r="C268" s="305"/>
      <c r="D268" s="305"/>
      <c r="E268" s="305"/>
      <c r="F268" s="305"/>
      <c r="G268" s="305"/>
      <c r="H268" s="305"/>
      <c r="I268" s="305"/>
      <c r="J268" s="305"/>
      <c r="K268" s="305"/>
      <c r="L268" s="305"/>
      <c r="M268" s="305"/>
      <c r="N268" s="305"/>
      <c r="O268" s="305"/>
      <c r="P268" s="305"/>
      <c r="Q268" s="305"/>
      <c r="R268" s="305"/>
      <c r="S268" s="305"/>
      <c r="T268" s="305"/>
      <c r="U268" s="305"/>
      <c r="V268" s="305"/>
      <c r="W268" s="305"/>
      <c r="X268" s="305"/>
      <c r="Y268" s="305"/>
      <c r="Z268" s="305"/>
      <c r="AA268" s="305"/>
      <c r="AB268" s="305"/>
      <c r="AC268" s="305"/>
      <c r="AD268" s="305"/>
      <c r="AE268" s="305"/>
      <c r="AF268" s="305"/>
      <c r="AG268" s="305"/>
      <c r="AH268" s="305"/>
      <c r="AI268" s="305"/>
      <c r="AJ268" s="306"/>
    </row>
    <row r="269" spans="1:36" ht="14.1" customHeight="1" x14ac:dyDescent="0.2"/>
    <row r="270" spans="1:36" ht="14.1" customHeight="1" x14ac:dyDescent="0.2"/>
    <row r="271" spans="1:36" ht="14.1" customHeight="1" x14ac:dyDescent="0.2"/>
    <row r="272" spans="1:36" ht="14.1" customHeight="1" x14ac:dyDescent="0.2"/>
    <row r="273" spans="14:23" ht="15" customHeight="1" thickBot="1" x14ac:dyDescent="0.25"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</row>
    <row r="274" spans="14:23" ht="15" customHeight="1" x14ac:dyDescent="0.2">
      <c r="N274" s="275" t="s">
        <v>150</v>
      </c>
      <c r="O274" s="275"/>
      <c r="P274" s="275"/>
      <c r="Q274" s="275"/>
      <c r="R274" s="275"/>
      <c r="S274" s="275"/>
      <c r="T274" s="275"/>
      <c r="U274" s="275"/>
      <c r="V274" s="275"/>
      <c r="W274" s="275"/>
    </row>
  </sheetData>
  <mergeCells count="761">
    <mergeCell ref="AF16:AJ16"/>
    <mergeCell ref="AF23:AG23"/>
    <mergeCell ref="AI23:AJ23"/>
    <mergeCell ref="AA23:AD23"/>
    <mergeCell ref="L23:O23"/>
    <mergeCell ref="Q23:T23"/>
    <mergeCell ref="V23:Y23"/>
    <mergeCell ref="AA28:AD28"/>
    <mergeCell ref="AF28:AG28"/>
    <mergeCell ref="AI28:AJ28"/>
    <mergeCell ref="L28:O28"/>
    <mergeCell ref="Q28:T28"/>
    <mergeCell ref="V28:Y28"/>
    <mergeCell ref="AA26:AD26"/>
    <mergeCell ref="AF26:AG26"/>
    <mergeCell ref="AI26:AJ26"/>
    <mergeCell ref="L27:O27"/>
    <mergeCell ref="Q27:T27"/>
    <mergeCell ref="V27:Y27"/>
    <mergeCell ref="AA27:AD27"/>
    <mergeCell ref="AF27:AG27"/>
    <mergeCell ref="AF24:AG24"/>
    <mergeCell ref="AI24:AJ24"/>
    <mergeCell ref="AI27:AJ27"/>
    <mergeCell ref="A33:AJ46"/>
    <mergeCell ref="L79:O79"/>
    <mergeCell ref="G79:J79"/>
    <mergeCell ref="A79:F79"/>
    <mergeCell ref="AA192:AD192"/>
    <mergeCell ref="AF192:AG192"/>
    <mergeCell ref="AI192:AJ192"/>
    <mergeCell ref="A193:F193"/>
    <mergeCell ref="G193:J193"/>
    <mergeCell ref="L193:O193"/>
    <mergeCell ref="Q193:T193"/>
    <mergeCell ref="V193:Y193"/>
    <mergeCell ref="AA193:AD193"/>
    <mergeCell ref="AF193:AG193"/>
    <mergeCell ref="AI193:AJ193"/>
    <mergeCell ref="A190:F190"/>
    <mergeCell ref="G190:J190"/>
    <mergeCell ref="L190:O190"/>
    <mergeCell ref="Q190:T190"/>
    <mergeCell ref="V190:Y190"/>
    <mergeCell ref="AA190:AD190"/>
    <mergeCell ref="AF190:AG190"/>
    <mergeCell ref="AI190:AJ190"/>
    <mergeCell ref="AA81:AD81"/>
    <mergeCell ref="A246:F246"/>
    <mergeCell ref="N273:W273"/>
    <mergeCell ref="V82:Y82"/>
    <mergeCell ref="Q82:T82"/>
    <mergeCell ref="L82:O82"/>
    <mergeCell ref="G82:J82"/>
    <mergeCell ref="A82:F82"/>
    <mergeCell ref="L245:O245"/>
    <mergeCell ref="G245:J245"/>
    <mergeCell ref="A245:F245"/>
    <mergeCell ref="A232:D232"/>
    <mergeCell ref="E232:P232"/>
    <mergeCell ref="Q232:S232"/>
    <mergeCell ref="T232:Z232"/>
    <mergeCell ref="A197:AJ197"/>
    <mergeCell ref="A192:F192"/>
    <mergeCell ref="G192:J192"/>
    <mergeCell ref="L192:O192"/>
    <mergeCell ref="Q192:T192"/>
    <mergeCell ref="A213:AJ214"/>
    <mergeCell ref="V192:Y192"/>
    <mergeCell ref="AF246:AG246"/>
    <mergeCell ref="AI246:AJ246"/>
    <mergeCell ref="A243:F243"/>
    <mergeCell ref="G243:J243"/>
    <mergeCell ref="L243:O243"/>
    <mergeCell ref="Q243:T243"/>
    <mergeCell ref="V243:Y243"/>
    <mergeCell ref="AA243:AD243"/>
    <mergeCell ref="AF243:AG243"/>
    <mergeCell ref="AI243:AJ243"/>
    <mergeCell ref="A244:F244"/>
    <mergeCell ref="G244:J244"/>
    <mergeCell ref="L244:O244"/>
    <mergeCell ref="Q244:T244"/>
    <mergeCell ref="V244:Y244"/>
    <mergeCell ref="AA244:AD244"/>
    <mergeCell ref="AF244:AG244"/>
    <mergeCell ref="AI244:AJ244"/>
    <mergeCell ref="AA246:AD246"/>
    <mergeCell ref="AI245:AJ245"/>
    <mergeCell ref="AF245:AG245"/>
    <mergeCell ref="AA245:AD245"/>
    <mergeCell ref="V245:Y245"/>
    <mergeCell ref="Q245:T245"/>
    <mergeCell ref="N274:W274"/>
    <mergeCell ref="A252:AJ252"/>
    <mergeCell ref="A247:F247"/>
    <mergeCell ref="G247:J247"/>
    <mergeCell ref="L247:O247"/>
    <mergeCell ref="Q247:T247"/>
    <mergeCell ref="V247:Y247"/>
    <mergeCell ref="AA247:AD247"/>
    <mergeCell ref="AF247:AG247"/>
    <mergeCell ref="AI247:AJ247"/>
    <mergeCell ref="A248:F248"/>
    <mergeCell ref="G248:J248"/>
    <mergeCell ref="L248:O248"/>
    <mergeCell ref="Q248:T248"/>
    <mergeCell ref="V248:Y248"/>
    <mergeCell ref="AA248:AD248"/>
    <mergeCell ref="AF248:AG248"/>
    <mergeCell ref="AI248:AJ248"/>
    <mergeCell ref="A254:AJ268"/>
    <mergeCell ref="V246:Y246"/>
    <mergeCell ref="Q246:T246"/>
    <mergeCell ref="L246:O246"/>
    <mergeCell ref="G246:J246"/>
    <mergeCell ref="AA232:AF232"/>
    <mergeCell ref="AG232:AJ232"/>
    <mergeCell ref="A234:J234"/>
    <mergeCell ref="A235:J235"/>
    <mergeCell ref="Q234:T234"/>
    <mergeCell ref="V234:Y234"/>
    <mergeCell ref="AA234:AD234"/>
    <mergeCell ref="AI238:AJ238"/>
    <mergeCell ref="L235:O235"/>
    <mergeCell ref="Q235:T235"/>
    <mergeCell ref="V235:Y235"/>
    <mergeCell ref="AA235:AD235"/>
    <mergeCell ref="A238:F238"/>
    <mergeCell ref="G238:J238"/>
    <mergeCell ref="L238:O238"/>
    <mergeCell ref="Q238:T238"/>
    <mergeCell ref="V238:Y238"/>
    <mergeCell ref="AA238:AD238"/>
    <mergeCell ref="AF238:AG238"/>
    <mergeCell ref="A236:F236"/>
    <mergeCell ref="G236:J236"/>
    <mergeCell ref="L236:O236"/>
    <mergeCell ref="Q236:T236"/>
    <mergeCell ref="V236:Y236"/>
    <mergeCell ref="AI242:AJ242"/>
    <mergeCell ref="A239:F239"/>
    <mergeCell ref="G239:J239"/>
    <mergeCell ref="L239:O239"/>
    <mergeCell ref="Q239:T239"/>
    <mergeCell ref="V239:Y239"/>
    <mergeCell ref="AA239:AD239"/>
    <mergeCell ref="A242:F242"/>
    <mergeCell ref="G242:J242"/>
    <mergeCell ref="L242:O242"/>
    <mergeCell ref="Q242:T242"/>
    <mergeCell ref="V242:Y242"/>
    <mergeCell ref="AA242:AD242"/>
    <mergeCell ref="AF242:AG242"/>
    <mergeCell ref="A241:F241"/>
    <mergeCell ref="G241:J241"/>
    <mergeCell ref="L241:O241"/>
    <mergeCell ref="Q241:T241"/>
    <mergeCell ref="V241:Y241"/>
    <mergeCell ref="AG230:AJ230"/>
    <mergeCell ref="G191:J191"/>
    <mergeCell ref="L191:O191"/>
    <mergeCell ref="Q191:T191"/>
    <mergeCell ref="V191:Y191"/>
    <mergeCell ref="AA191:AD191"/>
    <mergeCell ref="AF191:AG191"/>
    <mergeCell ref="AI191:AJ191"/>
    <mergeCell ref="AG222:AJ222"/>
    <mergeCell ref="AD223:AG224"/>
    <mergeCell ref="AH223:AJ224"/>
    <mergeCell ref="I226:AC226"/>
    <mergeCell ref="AD222:AF222"/>
    <mergeCell ref="AA189:AD189"/>
    <mergeCell ref="AF189:AG189"/>
    <mergeCell ref="AI189:AJ189"/>
    <mergeCell ref="A191:F191"/>
    <mergeCell ref="A186:F186"/>
    <mergeCell ref="G186:J186"/>
    <mergeCell ref="L186:O186"/>
    <mergeCell ref="Q186:T186"/>
    <mergeCell ref="V186:Y186"/>
    <mergeCell ref="AA186:AD186"/>
    <mergeCell ref="AA187:AD187"/>
    <mergeCell ref="AF187:AG187"/>
    <mergeCell ref="AF186:AG186"/>
    <mergeCell ref="AI186:AJ186"/>
    <mergeCell ref="AI187:AJ187"/>
    <mergeCell ref="AA188:AD188"/>
    <mergeCell ref="AF188:AG188"/>
    <mergeCell ref="AI188:AJ188"/>
    <mergeCell ref="A231:D231"/>
    <mergeCell ref="E231:P231"/>
    <mergeCell ref="Q231:S231"/>
    <mergeCell ref="T231:Z231"/>
    <mergeCell ref="AA231:AF231"/>
    <mergeCell ref="AG231:AJ231"/>
    <mergeCell ref="N217:W217"/>
    <mergeCell ref="N218:W218"/>
    <mergeCell ref="A221:H226"/>
    <mergeCell ref="I221:AC221"/>
    <mergeCell ref="AD221:AF221"/>
    <mergeCell ref="AG221:AH221"/>
    <mergeCell ref="I222:AC222"/>
    <mergeCell ref="I223:AC223"/>
    <mergeCell ref="I224:AC224"/>
    <mergeCell ref="I225:AC225"/>
    <mergeCell ref="AD225:AG226"/>
    <mergeCell ref="AH225:AJ226"/>
    <mergeCell ref="A228:AJ228"/>
    <mergeCell ref="A230:D230"/>
    <mergeCell ref="E230:P230"/>
    <mergeCell ref="Q230:S230"/>
    <mergeCell ref="T230:Z230"/>
    <mergeCell ref="AA230:AF230"/>
    <mergeCell ref="A189:F189"/>
    <mergeCell ref="G189:J189"/>
    <mergeCell ref="L189:O189"/>
    <mergeCell ref="Q189:T189"/>
    <mergeCell ref="A184:F184"/>
    <mergeCell ref="G184:J184"/>
    <mergeCell ref="L184:O184"/>
    <mergeCell ref="Q184:T184"/>
    <mergeCell ref="V184:Y184"/>
    <mergeCell ref="A187:F187"/>
    <mergeCell ref="G187:J187"/>
    <mergeCell ref="L187:O187"/>
    <mergeCell ref="Q187:T187"/>
    <mergeCell ref="V187:Y187"/>
    <mergeCell ref="A188:F188"/>
    <mergeCell ref="G188:J188"/>
    <mergeCell ref="L188:O188"/>
    <mergeCell ref="Q188:T188"/>
    <mergeCell ref="V188:Y188"/>
    <mergeCell ref="V189:Y189"/>
    <mergeCell ref="AA184:AD184"/>
    <mergeCell ref="AF184:AG184"/>
    <mergeCell ref="AI184:AJ184"/>
    <mergeCell ref="A185:F185"/>
    <mergeCell ref="G185:J185"/>
    <mergeCell ref="L185:O185"/>
    <mergeCell ref="Q185:T185"/>
    <mergeCell ref="V185:Y185"/>
    <mergeCell ref="AA185:AD185"/>
    <mergeCell ref="AF185:AG185"/>
    <mergeCell ref="AI185:AJ185"/>
    <mergeCell ref="A182:F182"/>
    <mergeCell ref="G182:J182"/>
    <mergeCell ref="L182:O182"/>
    <mergeCell ref="Q182:T182"/>
    <mergeCell ref="V182:Y182"/>
    <mergeCell ref="AA182:AD182"/>
    <mergeCell ref="AF182:AG182"/>
    <mergeCell ref="AI182:AJ182"/>
    <mergeCell ref="A183:F183"/>
    <mergeCell ref="G183:J183"/>
    <mergeCell ref="L183:O183"/>
    <mergeCell ref="Q183:T183"/>
    <mergeCell ref="V183:Y183"/>
    <mergeCell ref="AA183:AD183"/>
    <mergeCell ref="AF183:AG183"/>
    <mergeCell ref="AI183:AJ183"/>
    <mergeCell ref="A180:J180"/>
    <mergeCell ref="L180:O180"/>
    <mergeCell ref="Q180:T180"/>
    <mergeCell ref="V180:Y180"/>
    <mergeCell ref="AA180:AD180"/>
    <mergeCell ref="A181:F181"/>
    <mergeCell ref="G181:J181"/>
    <mergeCell ref="L181:O181"/>
    <mergeCell ref="Q181:T181"/>
    <mergeCell ref="V181:Y181"/>
    <mergeCell ref="AA181:AD181"/>
    <mergeCell ref="A177:D177"/>
    <mergeCell ref="E177:P177"/>
    <mergeCell ref="Q177:S177"/>
    <mergeCell ref="T177:Z177"/>
    <mergeCell ref="AA177:AF177"/>
    <mergeCell ref="AG177:AJ177"/>
    <mergeCell ref="A179:J179"/>
    <mergeCell ref="L179:O179"/>
    <mergeCell ref="Q179:T179"/>
    <mergeCell ref="V179:Y179"/>
    <mergeCell ref="AA179:AD179"/>
    <mergeCell ref="A173:AJ173"/>
    <mergeCell ref="A175:D175"/>
    <mergeCell ref="E175:P175"/>
    <mergeCell ref="Q175:S175"/>
    <mergeCell ref="T175:Z175"/>
    <mergeCell ref="AA175:AF175"/>
    <mergeCell ref="AG175:AJ175"/>
    <mergeCell ref="A176:D176"/>
    <mergeCell ref="E176:P176"/>
    <mergeCell ref="Q176:S176"/>
    <mergeCell ref="T176:Z176"/>
    <mergeCell ref="AA176:AF176"/>
    <mergeCell ref="AG176:AJ176"/>
    <mergeCell ref="V136:Y136"/>
    <mergeCell ref="AA136:AD136"/>
    <mergeCell ref="AF136:AG136"/>
    <mergeCell ref="AI136:AJ136"/>
    <mergeCell ref="A137:F137"/>
    <mergeCell ref="G137:J137"/>
    <mergeCell ref="L137:O137"/>
    <mergeCell ref="Q137:T137"/>
    <mergeCell ref="V137:Y137"/>
    <mergeCell ref="AA137:AD137"/>
    <mergeCell ref="AF137:AG137"/>
    <mergeCell ref="AI137:AJ137"/>
    <mergeCell ref="G135:J135"/>
    <mergeCell ref="L135:O135"/>
    <mergeCell ref="N162:W162"/>
    <mergeCell ref="N163:W163"/>
    <mergeCell ref="A166:H171"/>
    <mergeCell ref="I166:AC166"/>
    <mergeCell ref="AD166:AF166"/>
    <mergeCell ref="AG166:AH166"/>
    <mergeCell ref="I167:AC167"/>
    <mergeCell ref="I168:AC168"/>
    <mergeCell ref="I169:AC169"/>
    <mergeCell ref="I170:AC170"/>
    <mergeCell ref="AD170:AG171"/>
    <mergeCell ref="AH170:AJ171"/>
    <mergeCell ref="I171:AC171"/>
    <mergeCell ref="AD167:AF167"/>
    <mergeCell ref="AG167:AJ167"/>
    <mergeCell ref="AD168:AG169"/>
    <mergeCell ref="AH168:AJ169"/>
    <mergeCell ref="AI139:AJ139"/>
    <mergeCell ref="A136:F136"/>
    <mergeCell ref="G136:J136"/>
    <mergeCell ref="L136:O136"/>
    <mergeCell ref="Q136:T136"/>
    <mergeCell ref="Q134:T134"/>
    <mergeCell ref="V134:Y134"/>
    <mergeCell ref="AA134:AD134"/>
    <mergeCell ref="N108:W108"/>
    <mergeCell ref="N109:W109"/>
    <mergeCell ref="A143:AJ143"/>
    <mergeCell ref="A138:F138"/>
    <mergeCell ref="G138:J138"/>
    <mergeCell ref="L138:O138"/>
    <mergeCell ref="Q138:T138"/>
    <mergeCell ref="V138:Y138"/>
    <mergeCell ref="AA138:AD138"/>
    <mergeCell ref="AF138:AG138"/>
    <mergeCell ref="AI138:AJ138"/>
    <mergeCell ref="A139:F139"/>
    <mergeCell ref="G139:J139"/>
    <mergeCell ref="L139:O139"/>
    <mergeCell ref="Q139:T139"/>
    <mergeCell ref="V139:Y139"/>
    <mergeCell ref="AA139:AD139"/>
    <mergeCell ref="AF139:AG139"/>
    <mergeCell ref="AF134:AG134"/>
    <mergeCell ref="AI134:AJ134"/>
    <mergeCell ref="A135:F135"/>
    <mergeCell ref="A132:F132"/>
    <mergeCell ref="G132:J132"/>
    <mergeCell ref="L132:O132"/>
    <mergeCell ref="Q132:T132"/>
    <mergeCell ref="V132:Y132"/>
    <mergeCell ref="V135:Y135"/>
    <mergeCell ref="AA135:AD135"/>
    <mergeCell ref="AF135:AG135"/>
    <mergeCell ref="AI135:AJ135"/>
    <mergeCell ref="Q135:T135"/>
    <mergeCell ref="AA132:AD132"/>
    <mergeCell ref="AF132:AG132"/>
    <mergeCell ref="AI132:AJ132"/>
    <mergeCell ref="A133:F133"/>
    <mergeCell ref="G133:J133"/>
    <mergeCell ref="L133:O133"/>
    <mergeCell ref="Q133:T133"/>
    <mergeCell ref="V133:Y133"/>
    <mergeCell ref="AA133:AD133"/>
    <mergeCell ref="AF133:AG133"/>
    <mergeCell ref="AI133:AJ133"/>
    <mergeCell ref="A134:F134"/>
    <mergeCell ref="G134:J134"/>
    <mergeCell ref="L134:O134"/>
    <mergeCell ref="AA130:AD130"/>
    <mergeCell ref="AF130:AG130"/>
    <mergeCell ref="AI130:AJ130"/>
    <mergeCell ref="A131:F131"/>
    <mergeCell ref="G131:J131"/>
    <mergeCell ref="L131:O131"/>
    <mergeCell ref="Q131:T131"/>
    <mergeCell ref="V131:Y131"/>
    <mergeCell ref="AA131:AD131"/>
    <mergeCell ref="AF131:AG131"/>
    <mergeCell ref="AI131:AJ131"/>
    <mergeCell ref="A130:F130"/>
    <mergeCell ref="G130:J130"/>
    <mergeCell ref="L130:O130"/>
    <mergeCell ref="Q130:T130"/>
    <mergeCell ref="V130:Y130"/>
    <mergeCell ref="AF128:AG128"/>
    <mergeCell ref="AG123:AJ123"/>
    <mergeCell ref="A125:J125"/>
    <mergeCell ref="L125:O125"/>
    <mergeCell ref="AI128:AJ128"/>
    <mergeCell ref="A129:F129"/>
    <mergeCell ref="G129:J129"/>
    <mergeCell ref="L129:O129"/>
    <mergeCell ref="Q129:T129"/>
    <mergeCell ref="V129:Y129"/>
    <mergeCell ref="AA129:AD129"/>
    <mergeCell ref="AF129:AG129"/>
    <mergeCell ref="AI129:AJ129"/>
    <mergeCell ref="G16:J16"/>
    <mergeCell ref="AA17:AD17"/>
    <mergeCell ref="G17:J17"/>
    <mergeCell ref="L26:O26"/>
    <mergeCell ref="Q26:T26"/>
    <mergeCell ref="V26:Y26"/>
    <mergeCell ref="AA24:AD24"/>
    <mergeCell ref="L25:O25"/>
    <mergeCell ref="Q25:T25"/>
    <mergeCell ref="V25:Y25"/>
    <mergeCell ref="AA25:AD25"/>
    <mergeCell ref="G18:J18"/>
    <mergeCell ref="G19:J19"/>
    <mergeCell ref="G20:J20"/>
    <mergeCell ref="G21:J21"/>
    <mergeCell ref="G22:J22"/>
    <mergeCell ref="G23:J23"/>
    <mergeCell ref="G24:J24"/>
    <mergeCell ref="L22:O22"/>
    <mergeCell ref="V22:Y22"/>
    <mergeCell ref="AA22:AD22"/>
    <mergeCell ref="L19:O19"/>
    <mergeCell ref="Q19:T19"/>
    <mergeCell ref="V19:Y19"/>
    <mergeCell ref="Q16:T16"/>
    <mergeCell ref="V16:Y16"/>
    <mergeCell ref="L15:O15"/>
    <mergeCell ref="Q15:T15"/>
    <mergeCell ref="V15:Y15"/>
    <mergeCell ref="AA15:AD15"/>
    <mergeCell ref="L14:O14"/>
    <mergeCell ref="Q14:T14"/>
    <mergeCell ref="V14:Y14"/>
    <mergeCell ref="AD2:AF2"/>
    <mergeCell ref="I2:AC2"/>
    <mergeCell ref="I3:AC3"/>
    <mergeCell ref="I4:AC4"/>
    <mergeCell ref="I5:AC5"/>
    <mergeCell ref="I6:AC6"/>
    <mergeCell ref="AG2:AJ2"/>
    <mergeCell ref="A8:AJ8"/>
    <mergeCell ref="AH4:AJ4"/>
    <mergeCell ref="AD4:AG4"/>
    <mergeCell ref="A1:H6"/>
    <mergeCell ref="AD1:AF1"/>
    <mergeCell ref="I1:AC1"/>
    <mergeCell ref="AG1:AH1"/>
    <mergeCell ref="AH5:AJ6"/>
    <mergeCell ref="AD5:AG6"/>
    <mergeCell ref="AD3:AF3"/>
    <mergeCell ref="AG3:AJ3"/>
    <mergeCell ref="A27:F27"/>
    <mergeCell ref="A28:F28"/>
    <mergeCell ref="Q22:T22"/>
    <mergeCell ref="AG12:AJ12"/>
    <mergeCell ref="AA12:AF12"/>
    <mergeCell ref="AA11:AF11"/>
    <mergeCell ref="AA10:AF10"/>
    <mergeCell ref="AA14:AD14"/>
    <mergeCell ref="T10:Z10"/>
    <mergeCell ref="T11:Z11"/>
    <mergeCell ref="T12:Z12"/>
    <mergeCell ref="Q10:S10"/>
    <mergeCell ref="Q11:S11"/>
    <mergeCell ref="A10:D10"/>
    <mergeCell ref="A11:D11"/>
    <mergeCell ref="AG10:AJ10"/>
    <mergeCell ref="AG11:AJ11"/>
    <mergeCell ref="A12:D12"/>
    <mergeCell ref="E10:P10"/>
    <mergeCell ref="E11:P11"/>
    <mergeCell ref="E12:P12"/>
    <mergeCell ref="Q12:S12"/>
    <mergeCell ref="AA16:AD16"/>
    <mergeCell ref="L16:O16"/>
    <mergeCell ref="AF20:AG20"/>
    <mergeCell ref="AI20:AJ20"/>
    <mergeCell ref="AF18:AG18"/>
    <mergeCell ref="AI18:AJ18"/>
    <mergeCell ref="A25:F25"/>
    <mergeCell ref="AA21:AD21"/>
    <mergeCell ref="G25:J25"/>
    <mergeCell ref="A26:F26"/>
    <mergeCell ref="G26:J26"/>
    <mergeCell ref="G27:J27"/>
    <mergeCell ref="G28:J28"/>
    <mergeCell ref="AF21:AG21"/>
    <mergeCell ref="AI21:AJ21"/>
    <mergeCell ref="N51:W51"/>
    <mergeCell ref="L17:O17"/>
    <mergeCell ref="Q17:T17"/>
    <mergeCell ref="V17:Y17"/>
    <mergeCell ref="AA19:AD19"/>
    <mergeCell ref="AF19:AG19"/>
    <mergeCell ref="AI19:AJ19"/>
    <mergeCell ref="L20:O20"/>
    <mergeCell ref="Q20:T20"/>
    <mergeCell ref="V20:Y20"/>
    <mergeCell ref="AF17:AG17"/>
    <mergeCell ref="AI17:AJ17"/>
    <mergeCell ref="AI25:AJ25"/>
    <mergeCell ref="AA18:AD18"/>
    <mergeCell ref="AF22:AG22"/>
    <mergeCell ref="AI22:AJ22"/>
    <mergeCell ref="L21:O21"/>
    <mergeCell ref="Q21:T21"/>
    <mergeCell ref="V21:Y21"/>
    <mergeCell ref="AA20:AD20"/>
    <mergeCell ref="A14:J14"/>
    <mergeCell ref="A15:J15"/>
    <mergeCell ref="AF25:AG25"/>
    <mergeCell ref="A66:D66"/>
    <mergeCell ref="E66:P66"/>
    <mergeCell ref="Q66:S66"/>
    <mergeCell ref="T66:Z66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L24:O24"/>
    <mergeCell ref="Q24:T24"/>
    <mergeCell ref="V24:Y24"/>
    <mergeCell ref="N52:W52"/>
    <mergeCell ref="A31:AJ31"/>
    <mergeCell ref="L18:O18"/>
    <mergeCell ref="Q18:T18"/>
    <mergeCell ref="V18:Y18"/>
    <mergeCell ref="AA66:AF66"/>
    <mergeCell ref="AG66:AJ66"/>
    <mergeCell ref="A56:H61"/>
    <mergeCell ref="I56:AC56"/>
    <mergeCell ref="AD56:AF56"/>
    <mergeCell ref="AG56:AH56"/>
    <mergeCell ref="I57:AC57"/>
    <mergeCell ref="I58:AC58"/>
    <mergeCell ref="I59:AC59"/>
    <mergeCell ref="I60:AC60"/>
    <mergeCell ref="AD60:AG61"/>
    <mergeCell ref="AH60:AJ61"/>
    <mergeCell ref="I61:AC61"/>
    <mergeCell ref="AD57:AF57"/>
    <mergeCell ref="AG57:AJ57"/>
    <mergeCell ref="AD58:AG59"/>
    <mergeCell ref="AH58:AJ59"/>
    <mergeCell ref="A63:AJ63"/>
    <mergeCell ref="A65:D65"/>
    <mergeCell ref="E65:P65"/>
    <mergeCell ref="Q65:S65"/>
    <mergeCell ref="T65:Z65"/>
    <mergeCell ref="AA65:AF65"/>
    <mergeCell ref="AG65:AJ65"/>
    <mergeCell ref="A67:D67"/>
    <mergeCell ref="E67:P67"/>
    <mergeCell ref="Q67:S67"/>
    <mergeCell ref="T67:Z67"/>
    <mergeCell ref="AA67:AF67"/>
    <mergeCell ref="AG67:AJ67"/>
    <mergeCell ref="A69:J69"/>
    <mergeCell ref="L69:O69"/>
    <mergeCell ref="Q69:T69"/>
    <mergeCell ref="V69:Y69"/>
    <mergeCell ref="AA69:AD69"/>
    <mergeCell ref="AF71:AJ71"/>
    <mergeCell ref="A72:F72"/>
    <mergeCell ref="G72:J72"/>
    <mergeCell ref="L72:O72"/>
    <mergeCell ref="Q72:T72"/>
    <mergeCell ref="V72:Y72"/>
    <mergeCell ref="AA72:AD72"/>
    <mergeCell ref="AF72:AG72"/>
    <mergeCell ref="A73:F73"/>
    <mergeCell ref="G73:J73"/>
    <mergeCell ref="L73:O73"/>
    <mergeCell ref="AI72:AJ72"/>
    <mergeCell ref="Q73:T73"/>
    <mergeCell ref="V73:Y73"/>
    <mergeCell ref="AA73:AD73"/>
    <mergeCell ref="AF73:AG73"/>
    <mergeCell ref="AI73:AJ73"/>
    <mergeCell ref="A70:J70"/>
    <mergeCell ref="L70:O70"/>
    <mergeCell ref="Q70:T70"/>
    <mergeCell ref="V70:Y70"/>
    <mergeCell ref="AA70:AD70"/>
    <mergeCell ref="A71:F71"/>
    <mergeCell ref="G71:J71"/>
    <mergeCell ref="L71:O71"/>
    <mergeCell ref="Q71:T71"/>
    <mergeCell ref="V71:Y71"/>
    <mergeCell ref="AA71:AD71"/>
    <mergeCell ref="AI78:AJ78"/>
    <mergeCell ref="AF78:AG78"/>
    <mergeCell ref="AA78:AD78"/>
    <mergeCell ref="V78:Y78"/>
    <mergeCell ref="Q78:T78"/>
    <mergeCell ref="L78:O78"/>
    <mergeCell ref="G78:J78"/>
    <mergeCell ref="A78:F78"/>
    <mergeCell ref="AI81:AJ81"/>
    <mergeCell ref="AI79:AJ79"/>
    <mergeCell ref="V79:Y79"/>
    <mergeCell ref="Q79:T79"/>
    <mergeCell ref="L80:O80"/>
    <mergeCell ref="G80:J80"/>
    <mergeCell ref="V81:Y81"/>
    <mergeCell ref="Q81:T81"/>
    <mergeCell ref="L81:O81"/>
    <mergeCell ref="G81:J81"/>
    <mergeCell ref="A81:F81"/>
    <mergeCell ref="AD114:AG115"/>
    <mergeCell ref="AH114:AJ115"/>
    <mergeCell ref="AD113:AF113"/>
    <mergeCell ref="AG113:AJ113"/>
    <mergeCell ref="I117:AC117"/>
    <mergeCell ref="A87:AJ87"/>
    <mergeCell ref="V83:Y83"/>
    <mergeCell ref="Q83:T83"/>
    <mergeCell ref="L83:O83"/>
    <mergeCell ref="G83:J83"/>
    <mergeCell ref="A83:F83"/>
    <mergeCell ref="AI82:AJ82"/>
    <mergeCell ref="AF82:AG82"/>
    <mergeCell ref="AA82:AD82"/>
    <mergeCell ref="A112:H117"/>
    <mergeCell ref="I112:AC112"/>
    <mergeCell ref="AA236:AD236"/>
    <mergeCell ref="A199:AJ212"/>
    <mergeCell ref="AF181:AJ181"/>
    <mergeCell ref="A145:AJ157"/>
    <mergeCell ref="AF127:AJ127"/>
    <mergeCell ref="A89:AJ103"/>
    <mergeCell ref="AI83:AJ83"/>
    <mergeCell ref="AF83:AG83"/>
    <mergeCell ref="AA83:AD83"/>
    <mergeCell ref="L234:O234"/>
    <mergeCell ref="A119:AJ119"/>
    <mergeCell ref="AD112:AF112"/>
    <mergeCell ref="AG112:AH112"/>
    <mergeCell ref="I113:AC113"/>
    <mergeCell ref="I114:AC114"/>
    <mergeCell ref="I115:AC115"/>
    <mergeCell ref="I116:AC116"/>
    <mergeCell ref="E123:P123"/>
    <mergeCell ref="Q123:S123"/>
    <mergeCell ref="AF236:AJ236"/>
    <mergeCell ref="Q125:T125"/>
    <mergeCell ref="V125:Y125"/>
    <mergeCell ref="AA125:AD125"/>
    <mergeCell ref="A123:D123"/>
    <mergeCell ref="A126:J126"/>
    <mergeCell ref="L126:O126"/>
    <mergeCell ref="Q126:T126"/>
    <mergeCell ref="V126:Y126"/>
    <mergeCell ref="AA126:AD126"/>
    <mergeCell ref="T123:Z123"/>
    <mergeCell ref="AA123:AF123"/>
    <mergeCell ref="A127:F127"/>
    <mergeCell ref="G127:J127"/>
    <mergeCell ref="L127:O127"/>
    <mergeCell ref="Q127:T127"/>
    <mergeCell ref="V127:Y127"/>
    <mergeCell ref="AA127:AD127"/>
    <mergeCell ref="A128:F128"/>
    <mergeCell ref="G128:J128"/>
    <mergeCell ref="L128:O128"/>
    <mergeCell ref="Q128:T128"/>
    <mergeCell ref="V128:Y128"/>
    <mergeCell ref="AA128:AD128"/>
    <mergeCell ref="AA241:AD241"/>
    <mergeCell ref="AF241:AG241"/>
    <mergeCell ref="AI241:AJ241"/>
    <mergeCell ref="A237:F237"/>
    <mergeCell ref="G237:J237"/>
    <mergeCell ref="L237:O237"/>
    <mergeCell ref="Q237:T237"/>
    <mergeCell ref="V237:Y237"/>
    <mergeCell ref="AA237:AD237"/>
    <mergeCell ref="AF237:AG237"/>
    <mergeCell ref="AI237:AJ237"/>
    <mergeCell ref="AF239:AG239"/>
    <mergeCell ref="AI239:AJ239"/>
    <mergeCell ref="A240:F240"/>
    <mergeCell ref="G240:J240"/>
    <mergeCell ref="L240:O240"/>
    <mergeCell ref="Q240:T240"/>
    <mergeCell ref="V240:Y240"/>
    <mergeCell ref="AA240:AD240"/>
    <mergeCell ref="AF240:AG240"/>
    <mergeCell ref="AI240:AJ240"/>
    <mergeCell ref="AF76:AG76"/>
    <mergeCell ref="AI76:AJ76"/>
    <mergeCell ref="AF77:AG77"/>
    <mergeCell ref="E121:P121"/>
    <mergeCell ref="Q121:S121"/>
    <mergeCell ref="T121:Z121"/>
    <mergeCell ref="AA121:AF121"/>
    <mergeCell ref="AG121:AJ121"/>
    <mergeCell ref="A122:D122"/>
    <mergeCell ref="E122:P122"/>
    <mergeCell ref="Q122:S122"/>
    <mergeCell ref="T122:Z122"/>
    <mergeCell ref="AA122:AF122"/>
    <mergeCell ref="AG122:AJ122"/>
    <mergeCell ref="A121:D121"/>
    <mergeCell ref="A80:F80"/>
    <mergeCell ref="AD116:AG117"/>
    <mergeCell ref="AH116:AJ117"/>
    <mergeCell ref="AF81:AG81"/>
    <mergeCell ref="AI80:AJ80"/>
    <mergeCell ref="AF80:AG80"/>
    <mergeCell ref="AA80:AD80"/>
    <mergeCell ref="V80:Y80"/>
    <mergeCell ref="Q80:T80"/>
    <mergeCell ref="A75:F75"/>
    <mergeCell ref="G75:J75"/>
    <mergeCell ref="AA75:AD75"/>
    <mergeCell ref="V75:Y75"/>
    <mergeCell ref="Q75:T75"/>
    <mergeCell ref="L75:O75"/>
    <mergeCell ref="V77:Y77"/>
    <mergeCell ref="Q77:T77"/>
    <mergeCell ref="L77:O77"/>
    <mergeCell ref="G77:J77"/>
    <mergeCell ref="A47:AJ48"/>
    <mergeCell ref="A104:AJ105"/>
    <mergeCell ref="A158:AJ159"/>
    <mergeCell ref="AI77:AJ77"/>
    <mergeCell ref="AF74:AG74"/>
    <mergeCell ref="AI74:AJ74"/>
    <mergeCell ref="AA77:AD77"/>
    <mergeCell ref="A74:F74"/>
    <mergeCell ref="G74:J74"/>
    <mergeCell ref="L74:O74"/>
    <mergeCell ref="Q74:T74"/>
    <mergeCell ref="V74:Y74"/>
    <mergeCell ref="AA74:AD74"/>
    <mergeCell ref="AF79:AG79"/>
    <mergeCell ref="AA79:AD79"/>
    <mergeCell ref="AF75:AG75"/>
    <mergeCell ref="AI75:AJ75"/>
    <mergeCell ref="A77:F77"/>
    <mergeCell ref="AA76:AD76"/>
    <mergeCell ref="V76:Y76"/>
    <mergeCell ref="Q76:T76"/>
    <mergeCell ref="L76:O76"/>
    <mergeCell ref="A76:F76"/>
    <mergeCell ref="G76:J76"/>
  </mergeCells>
  <pageMargins left="0.39370078740157483" right="0.19685039370078741" top="0.31496062992125984" bottom="0.31496062992125984" header="0.19685039370078741" footer="0.19685039370078741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8"/>
  <sheetViews>
    <sheetView workbookViewId="0">
      <pane ySplit="1" topLeftCell="A116" activePane="bottomLeft" state="frozen"/>
      <selection pane="bottomLeft" activeCell="C130" sqref="C130"/>
    </sheetView>
  </sheetViews>
  <sheetFormatPr baseColWidth="10" defaultColWidth="11.42578125" defaultRowHeight="15" x14ac:dyDescent="0.25"/>
  <cols>
    <col min="1" max="1" width="27.5703125" customWidth="1"/>
    <col min="2" max="3" width="10.7109375" customWidth="1"/>
    <col min="4" max="5" width="7.7109375" customWidth="1"/>
    <col min="6" max="7" width="8.140625" customWidth="1"/>
    <col min="8" max="9" width="7.7109375" customWidth="1"/>
    <col min="10" max="11" width="7.85546875" customWidth="1"/>
    <col min="12" max="13" width="9.28515625" customWidth="1"/>
    <col min="14" max="15" width="7.28515625" customWidth="1"/>
    <col min="16" max="17" width="9.5703125" customWidth="1"/>
    <col min="18" max="19" width="6.140625" customWidth="1"/>
    <col min="20" max="21" width="7.5703125" customWidth="1"/>
    <col min="22" max="23" width="6.85546875" customWidth="1"/>
  </cols>
  <sheetData>
    <row r="1" spans="1:23" ht="15.75" x14ac:dyDescent="0.25">
      <c r="A1" s="71" t="s">
        <v>154</v>
      </c>
      <c r="B1" s="345" t="s">
        <v>135</v>
      </c>
      <c r="C1" s="345"/>
      <c r="D1" s="345" t="s">
        <v>138</v>
      </c>
      <c r="E1" s="345"/>
      <c r="F1" s="345" t="s">
        <v>139</v>
      </c>
      <c r="G1" s="345"/>
      <c r="H1" s="345" t="s">
        <v>140</v>
      </c>
      <c r="I1" s="345"/>
      <c r="J1" s="345" t="s">
        <v>141</v>
      </c>
      <c r="K1" s="345"/>
      <c r="L1" s="345" t="s">
        <v>155</v>
      </c>
      <c r="M1" s="345"/>
      <c r="N1" s="345" t="s">
        <v>156</v>
      </c>
      <c r="O1" s="345"/>
      <c r="P1" s="345" t="s">
        <v>145</v>
      </c>
      <c r="Q1" s="345"/>
      <c r="R1" s="345" t="s">
        <v>146</v>
      </c>
      <c r="S1" s="345"/>
      <c r="T1" s="345" t="s">
        <v>147</v>
      </c>
      <c r="U1" s="345"/>
      <c r="V1" s="345" t="s">
        <v>148</v>
      </c>
      <c r="W1" s="345"/>
    </row>
    <row r="2" spans="1:23" x14ac:dyDescent="0.25">
      <c r="A2" s="75" t="s">
        <v>157</v>
      </c>
      <c r="B2" s="62" t="s">
        <v>2</v>
      </c>
      <c r="C2" s="62" t="s">
        <v>2</v>
      </c>
      <c r="D2" s="62" t="s">
        <v>2</v>
      </c>
      <c r="E2" s="62" t="s">
        <v>2</v>
      </c>
      <c r="F2" s="62" t="s">
        <v>2</v>
      </c>
      <c r="G2" s="62" t="s">
        <v>2</v>
      </c>
      <c r="H2" s="62" t="s">
        <v>2</v>
      </c>
      <c r="I2" s="62" t="s">
        <v>2</v>
      </c>
      <c r="J2" s="62" t="s">
        <v>2</v>
      </c>
      <c r="K2" s="62" t="s">
        <v>2</v>
      </c>
      <c r="L2" s="62" t="s">
        <v>2</v>
      </c>
      <c r="M2" s="62" t="s">
        <v>2</v>
      </c>
      <c r="N2" s="62" t="s">
        <v>2</v>
      </c>
      <c r="O2" s="62" t="s">
        <v>2</v>
      </c>
      <c r="P2" s="62" t="s">
        <v>2</v>
      </c>
      <c r="Q2" s="62" t="s">
        <v>2</v>
      </c>
      <c r="R2" s="62" t="s">
        <v>2</v>
      </c>
      <c r="S2" s="62" t="s">
        <v>2</v>
      </c>
      <c r="T2" s="62" t="s">
        <v>2</v>
      </c>
      <c r="U2" s="62" t="s">
        <v>2</v>
      </c>
      <c r="V2" s="62" t="s">
        <v>2</v>
      </c>
      <c r="W2" s="62" t="s">
        <v>2</v>
      </c>
    </row>
    <row r="3" spans="1:23" x14ac:dyDescent="0.25">
      <c r="A3" s="75" t="s">
        <v>158</v>
      </c>
      <c r="B3" s="62" t="s">
        <v>2</v>
      </c>
      <c r="C3" s="62" t="s">
        <v>2</v>
      </c>
      <c r="D3" s="62" t="s">
        <v>2</v>
      </c>
      <c r="E3" s="62" t="s">
        <v>2</v>
      </c>
      <c r="F3" s="62" t="s">
        <v>2</v>
      </c>
      <c r="G3" s="62" t="s">
        <v>2</v>
      </c>
      <c r="H3" s="62" t="s">
        <v>2</v>
      </c>
      <c r="I3" s="62" t="s">
        <v>2</v>
      </c>
      <c r="J3" s="62" t="s">
        <v>2</v>
      </c>
      <c r="K3" s="62" t="s">
        <v>2</v>
      </c>
      <c r="L3" s="62" t="s">
        <v>2</v>
      </c>
      <c r="M3" s="62" t="s">
        <v>2</v>
      </c>
      <c r="N3" s="62" t="s">
        <v>2</v>
      </c>
      <c r="O3" s="62" t="s">
        <v>2</v>
      </c>
      <c r="P3" s="62" t="s">
        <v>2</v>
      </c>
      <c r="Q3" s="62" t="s">
        <v>2</v>
      </c>
      <c r="R3" s="62" t="s">
        <v>2</v>
      </c>
      <c r="S3" s="62" t="s">
        <v>2</v>
      </c>
      <c r="T3" s="62" t="s">
        <v>2</v>
      </c>
      <c r="U3" s="62" t="s">
        <v>2</v>
      </c>
      <c r="V3" s="62" t="s">
        <v>2</v>
      </c>
      <c r="W3" s="62" t="s">
        <v>2</v>
      </c>
    </row>
    <row r="4" spans="1:23" x14ac:dyDescent="0.25">
      <c r="A4" s="75" t="s">
        <v>159</v>
      </c>
      <c r="B4" s="62">
        <v>1.6</v>
      </c>
      <c r="C4" s="62">
        <v>2</v>
      </c>
      <c r="D4" s="62">
        <v>1</v>
      </c>
      <c r="E4" s="62">
        <v>3</v>
      </c>
      <c r="F4" s="62">
        <v>0.25</v>
      </c>
      <c r="G4" s="62">
        <v>0.8</v>
      </c>
      <c r="H4" s="62">
        <v>0.75</v>
      </c>
      <c r="I4" s="62">
        <v>2</v>
      </c>
      <c r="J4" s="62">
        <v>0.08</v>
      </c>
      <c r="K4" s="62">
        <v>0.25</v>
      </c>
      <c r="L4" s="62">
        <v>0</v>
      </c>
      <c r="M4" s="62">
        <v>0</v>
      </c>
      <c r="N4" s="62">
        <v>50</v>
      </c>
      <c r="O4" s="62">
        <v>200</v>
      </c>
      <c r="P4" s="62">
        <v>30</v>
      </c>
      <c r="Q4" s="62">
        <v>500</v>
      </c>
      <c r="R4" s="62">
        <v>30</v>
      </c>
      <c r="S4" s="62">
        <v>150</v>
      </c>
      <c r="T4" s="62">
        <v>5</v>
      </c>
      <c r="U4" s="62">
        <v>15</v>
      </c>
      <c r="V4" s="62">
        <v>50</v>
      </c>
      <c r="W4" s="62">
        <v>100</v>
      </c>
    </row>
    <row r="5" spans="1:23" x14ac:dyDescent="0.25">
      <c r="A5" s="75" t="s">
        <v>160</v>
      </c>
      <c r="B5" s="62">
        <v>2</v>
      </c>
      <c r="C5" s="62">
        <v>4.5</v>
      </c>
      <c r="D5" s="62">
        <v>1</v>
      </c>
      <c r="E5" s="62">
        <v>3</v>
      </c>
      <c r="F5" s="62">
        <v>0.2</v>
      </c>
      <c r="G5" s="62">
        <v>0.75</v>
      </c>
      <c r="H5" s="62">
        <v>2.9</v>
      </c>
      <c r="I5" s="62">
        <v>5.0999999999999996</v>
      </c>
      <c r="J5" s="62">
        <v>0.28000000000000003</v>
      </c>
      <c r="K5" s="62">
        <v>0.69</v>
      </c>
      <c r="L5" s="62">
        <v>0</v>
      </c>
      <c r="M5" s="62">
        <v>0</v>
      </c>
      <c r="N5" s="62">
        <v>30</v>
      </c>
      <c r="O5" s="62">
        <v>200</v>
      </c>
      <c r="P5" s="62">
        <v>25</v>
      </c>
      <c r="Q5" s="62">
        <v>25</v>
      </c>
      <c r="R5" s="62">
        <v>22</v>
      </c>
      <c r="S5" s="62">
        <v>50</v>
      </c>
      <c r="T5" s="62">
        <v>4</v>
      </c>
      <c r="U5" s="62">
        <v>25</v>
      </c>
      <c r="V5" s="62">
        <v>15</v>
      </c>
      <c r="W5" s="62">
        <v>54</v>
      </c>
    </row>
    <row r="6" spans="1:23" x14ac:dyDescent="0.25">
      <c r="A6" s="75" t="s">
        <v>161</v>
      </c>
      <c r="B6" s="62" t="s">
        <v>2</v>
      </c>
      <c r="C6" s="62" t="s">
        <v>2</v>
      </c>
      <c r="D6" s="62" t="s">
        <v>2</v>
      </c>
      <c r="E6" s="62" t="s">
        <v>2</v>
      </c>
      <c r="F6" s="62" t="s">
        <v>2</v>
      </c>
      <c r="G6" s="62" t="s">
        <v>2</v>
      </c>
      <c r="H6" s="62" t="s">
        <v>2</v>
      </c>
      <c r="I6" s="62" t="s">
        <v>2</v>
      </c>
      <c r="J6" s="62" t="s">
        <v>2</v>
      </c>
      <c r="K6" s="62" t="s">
        <v>2</v>
      </c>
      <c r="L6" s="62" t="s">
        <v>2</v>
      </c>
      <c r="M6" s="62" t="s">
        <v>2</v>
      </c>
      <c r="N6" s="62" t="s">
        <v>2</v>
      </c>
      <c r="O6" s="62" t="s">
        <v>2</v>
      </c>
      <c r="P6" s="62" t="s">
        <v>2</v>
      </c>
      <c r="Q6" s="62" t="s">
        <v>2</v>
      </c>
      <c r="R6" s="62" t="s">
        <v>2</v>
      </c>
      <c r="S6" s="62" t="s">
        <v>2</v>
      </c>
      <c r="T6" s="62" t="s">
        <v>2</v>
      </c>
      <c r="U6" s="62" t="s">
        <v>2</v>
      </c>
      <c r="V6" s="62" t="s">
        <v>2</v>
      </c>
      <c r="W6" s="62" t="s">
        <v>2</v>
      </c>
    </row>
    <row r="7" spans="1:23" x14ac:dyDescent="0.25">
      <c r="A7" s="75" t="s">
        <v>162</v>
      </c>
      <c r="B7" s="62">
        <v>2.5</v>
      </c>
      <c r="C7" s="62">
        <v>3.22</v>
      </c>
      <c r="D7" s="62">
        <v>1.92</v>
      </c>
      <c r="E7" s="62">
        <v>2.56</v>
      </c>
      <c r="F7" s="62">
        <v>0.87</v>
      </c>
      <c r="G7" s="62">
        <v>1.53</v>
      </c>
      <c r="H7" s="62">
        <v>1.1100000000000001</v>
      </c>
      <c r="I7" s="62">
        <v>2.15</v>
      </c>
      <c r="J7" s="62">
        <v>0.5</v>
      </c>
      <c r="K7" s="62">
        <v>0.63</v>
      </c>
      <c r="L7" s="62">
        <v>0</v>
      </c>
      <c r="M7" s="62">
        <v>0</v>
      </c>
      <c r="N7" s="62">
        <v>300</v>
      </c>
      <c r="O7" s="62">
        <v>450</v>
      </c>
      <c r="P7" s="62">
        <v>120</v>
      </c>
      <c r="Q7" s="62">
        <v>234</v>
      </c>
      <c r="R7" s="62">
        <v>40</v>
      </c>
      <c r="S7" s="62">
        <v>70</v>
      </c>
      <c r="T7" s="62">
        <v>15</v>
      </c>
      <c r="U7" s="62">
        <v>25</v>
      </c>
      <c r="V7" s="62">
        <v>20</v>
      </c>
      <c r="W7" s="62">
        <v>30</v>
      </c>
    </row>
    <row r="8" spans="1:23" x14ac:dyDescent="0.25">
      <c r="A8" s="75" t="s">
        <v>163</v>
      </c>
      <c r="B8" s="62" t="s">
        <v>2</v>
      </c>
      <c r="C8" s="62" t="s">
        <v>2</v>
      </c>
      <c r="D8" s="62" t="s">
        <v>2</v>
      </c>
      <c r="E8" s="62" t="s">
        <v>2</v>
      </c>
      <c r="F8" s="62" t="s">
        <v>2</v>
      </c>
      <c r="G8" s="62" t="s">
        <v>2</v>
      </c>
      <c r="H8" s="62" t="s">
        <v>2</v>
      </c>
      <c r="I8" s="62" t="s">
        <v>2</v>
      </c>
      <c r="J8" s="62" t="s">
        <v>2</v>
      </c>
      <c r="K8" s="62" t="s">
        <v>2</v>
      </c>
      <c r="L8" s="62" t="s">
        <v>2</v>
      </c>
      <c r="M8" s="62" t="s">
        <v>2</v>
      </c>
      <c r="N8" s="62" t="s">
        <v>2</v>
      </c>
      <c r="O8" s="62" t="s">
        <v>2</v>
      </c>
      <c r="P8" s="62" t="s">
        <v>2</v>
      </c>
      <c r="Q8" s="62" t="s">
        <v>2</v>
      </c>
      <c r="R8" s="62" t="s">
        <v>2</v>
      </c>
      <c r="S8" s="62" t="s">
        <v>2</v>
      </c>
      <c r="T8" s="62" t="s">
        <v>2</v>
      </c>
      <c r="U8" s="62" t="s">
        <v>2</v>
      </c>
      <c r="V8" s="62" t="s">
        <v>2</v>
      </c>
      <c r="W8" s="62" t="s">
        <v>2</v>
      </c>
    </row>
    <row r="9" spans="1:23" x14ac:dyDescent="0.25">
      <c r="A9" s="75" t="s">
        <v>164</v>
      </c>
      <c r="B9" s="62">
        <v>4.49</v>
      </c>
      <c r="C9" s="62">
        <v>5</v>
      </c>
      <c r="D9" s="62">
        <v>1.79</v>
      </c>
      <c r="E9" s="62">
        <v>3</v>
      </c>
      <c r="F9" s="62">
        <v>0.28999999999999998</v>
      </c>
      <c r="G9" s="62">
        <v>1</v>
      </c>
      <c r="H9" s="62">
        <v>1.99</v>
      </c>
      <c r="I9" s="62">
        <v>3.5</v>
      </c>
      <c r="J9" s="62">
        <v>0.26</v>
      </c>
      <c r="K9" s="62">
        <v>0.7</v>
      </c>
      <c r="L9" s="62">
        <v>0</v>
      </c>
      <c r="M9" s="62">
        <v>0</v>
      </c>
      <c r="N9" s="62">
        <v>29</v>
      </c>
      <c r="O9" s="62">
        <v>250</v>
      </c>
      <c r="P9" s="62">
        <v>30</v>
      </c>
      <c r="Q9" s="62">
        <v>100</v>
      </c>
      <c r="R9" s="62">
        <v>20</v>
      </c>
      <c r="S9" s="62">
        <v>70</v>
      </c>
      <c r="T9" s="62">
        <v>7</v>
      </c>
      <c r="U9" s="62">
        <v>30</v>
      </c>
      <c r="V9" s="62">
        <v>29</v>
      </c>
      <c r="W9" s="62">
        <v>80</v>
      </c>
    </row>
    <row r="10" spans="1:23" x14ac:dyDescent="0.25">
      <c r="A10" s="74" t="s">
        <v>165</v>
      </c>
      <c r="B10" s="72">
        <v>3</v>
      </c>
      <c r="C10" s="72">
        <v>4.3</v>
      </c>
      <c r="D10" s="72">
        <v>2.2000000000000002</v>
      </c>
      <c r="E10" s="72">
        <v>3.5</v>
      </c>
      <c r="F10" s="72">
        <v>0.3</v>
      </c>
      <c r="G10" s="72">
        <v>0.8</v>
      </c>
      <c r="H10" s="72">
        <v>0.9</v>
      </c>
      <c r="I10" s="72">
        <v>2</v>
      </c>
      <c r="J10" s="72">
        <v>0.25</v>
      </c>
      <c r="K10" s="72">
        <v>0.45</v>
      </c>
      <c r="L10" s="73">
        <v>7000</v>
      </c>
      <c r="M10" s="72">
        <v>9000</v>
      </c>
      <c r="N10" s="72">
        <v>40</v>
      </c>
      <c r="O10" s="72">
        <v>300</v>
      </c>
      <c r="P10" s="72">
        <v>30</v>
      </c>
      <c r="Q10" s="72">
        <v>300</v>
      </c>
      <c r="R10" s="72">
        <v>20</v>
      </c>
      <c r="S10" s="72">
        <v>100</v>
      </c>
      <c r="T10" s="72">
        <v>5</v>
      </c>
      <c r="U10" s="72">
        <v>25</v>
      </c>
      <c r="V10" s="72">
        <v>20</v>
      </c>
      <c r="W10" s="72">
        <v>60</v>
      </c>
    </row>
    <row r="11" spans="1:23" x14ac:dyDescent="0.25">
      <c r="A11" s="74" t="s">
        <v>166</v>
      </c>
      <c r="B11" s="72">
        <v>3.5</v>
      </c>
      <c r="C11" s="72">
        <v>4.5</v>
      </c>
      <c r="D11" s="72">
        <v>2</v>
      </c>
      <c r="E11" s="72">
        <v>3</v>
      </c>
      <c r="F11" s="72">
        <v>0.3</v>
      </c>
      <c r="G11" s="72">
        <v>0.9</v>
      </c>
      <c r="H11" s="72">
        <v>1.5</v>
      </c>
      <c r="I11" s="72">
        <v>3</v>
      </c>
      <c r="J11" s="72">
        <v>0.3</v>
      </c>
      <c r="K11" s="72">
        <v>0.5</v>
      </c>
      <c r="L11" s="73">
        <v>13000</v>
      </c>
      <c r="M11" s="72">
        <v>16000</v>
      </c>
      <c r="N11" s="72">
        <v>50</v>
      </c>
      <c r="O11" s="72">
        <v>250</v>
      </c>
      <c r="P11" s="72">
        <v>25</v>
      </c>
      <c r="Q11" s="72">
        <v>350</v>
      </c>
      <c r="R11" s="72">
        <v>20</v>
      </c>
      <c r="S11" s="72">
        <v>200</v>
      </c>
      <c r="T11" s="72">
        <v>5</v>
      </c>
      <c r="U11" s="72">
        <v>25</v>
      </c>
      <c r="V11" s="72">
        <v>20</v>
      </c>
      <c r="W11" s="72">
        <v>60</v>
      </c>
    </row>
    <row r="12" spans="1:23" x14ac:dyDescent="0.25">
      <c r="A12" s="75" t="s">
        <v>167</v>
      </c>
      <c r="B12" s="62">
        <v>1.08</v>
      </c>
      <c r="C12" s="62">
        <v>1.7</v>
      </c>
      <c r="D12" s="62">
        <v>0.25</v>
      </c>
      <c r="E12" s="62">
        <v>0.75</v>
      </c>
      <c r="F12" s="62">
        <v>0.13</v>
      </c>
      <c r="G12" s="62">
        <v>0.22</v>
      </c>
      <c r="H12" s="62">
        <v>0.3</v>
      </c>
      <c r="I12" s="62">
        <v>0.6</v>
      </c>
      <c r="J12" s="62">
        <v>7.0000000000000007E-2</v>
      </c>
      <c r="K12" s="62">
        <v>0.2</v>
      </c>
      <c r="L12" s="62">
        <v>0</v>
      </c>
      <c r="M12" s="62">
        <v>0</v>
      </c>
      <c r="N12" s="62">
        <v>27</v>
      </c>
      <c r="O12" s="62">
        <v>85</v>
      </c>
      <c r="P12" s="62">
        <v>25</v>
      </c>
      <c r="Q12" s="62">
        <v>150</v>
      </c>
      <c r="R12" s="62">
        <v>10</v>
      </c>
      <c r="S12" s="62">
        <v>25</v>
      </c>
      <c r="T12" s="62">
        <v>4</v>
      </c>
      <c r="U12" s="62">
        <v>10</v>
      </c>
      <c r="V12" s="62">
        <v>12</v>
      </c>
      <c r="W12" s="62">
        <v>35</v>
      </c>
    </row>
    <row r="13" spans="1:23" x14ac:dyDescent="0.25">
      <c r="A13" s="75" t="s">
        <v>168</v>
      </c>
      <c r="B13" s="62" t="s">
        <v>2</v>
      </c>
      <c r="C13" s="62" t="s">
        <v>2</v>
      </c>
      <c r="D13" s="62" t="s">
        <v>2</v>
      </c>
      <c r="E13" s="62" t="s">
        <v>2</v>
      </c>
      <c r="F13" s="62" t="s">
        <v>2</v>
      </c>
      <c r="G13" s="62" t="s">
        <v>2</v>
      </c>
      <c r="H13" s="62" t="s">
        <v>2</v>
      </c>
      <c r="I13" s="62" t="s">
        <v>2</v>
      </c>
      <c r="J13" s="62" t="s">
        <v>2</v>
      </c>
      <c r="K13" s="62" t="s">
        <v>2</v>
      </c>
      <c r="L13" s="62" t="s">
        <v>2</v>
      </c>
      <c r="M13" s="62" t="s">
        <v>2</v>
      </c>
      <c r="N13" s="62" t="s">
        <v>2</v>
      </c>
      <c r="O13" s="62" t="s">
        <v>2</v>
      </c>
      <c r="P13" s="62" t="s">
        <v>2</v>
      </c>
      <c r="Q13" s="62" t="s">
        <v>2</v>
      </c>
      <c r="R13" s="62" t="s">
        <v>2</v>
      </c>
      <c r="S13" s="62" t="s">
        <v>2</v>
      </c>
      <c r="T13" s="62" t="s">
        <v>2</v>
      </c>
      <c r="U13" s="62" t="s">
        <v>2</v>
      </c>
      <c r="V13" s="62" t="s">
        <v>2</v>
      </c>
      <c r="W13" s="62" t="s">
        <v>2</v>
      </c>
    </row>
    <row r="14" spans="1:23" x14ac:dyDescent="0.25">
      <c r="A14" s="75" t="s">
        <v>169</v>
      </c>
      <c r="B14" s="62">
        <v>1.08</v>
      </c>
      <c r="C14" s="62">
        <v>1.7</v>
      </c>
      <c r="D14" s="62">
        <v>0.25</v>
      </c>
      <c r="E14" s="62">
        <v>0.75</v>
      </c>
      <c r="F14" s="62">
        <v>0.13</v>
      </c>
      <c r="G14" s="62">
        <v>0.22</v>
      </c>
      <c r="H14" s="62">
        <v>0.3</v>
      </c>
      <c r="I14" s="62">
        <v>0.6</v>
      </c>
      <c r="J14" s="62">
        <v>7.0000000000000007E-2</v>
      </c>
      <c r="K14" s="62">
        <v>0.2</v>
      </c>
      <c r="L14" s="62">
        <v>0</v>
      </c>
      <c r="M14" s="62">
        <v>0</v>
      </c>
      <c r="N14" s="62">
        <v>27</v>
      </c>
      <c r="O14" s="62">
        <v>85</v>
      </c>
      <c r="P14" s="62">
        <v>25</v>
      </c>
      <c r="Q14" s="62">
        <v>150</v>
      </c>
      <c r="R14" s="62">
        <v>10</v>
      </c>
      <c r="S14" s="62">
        <v>25</v>
      </c>
      <c r="T14" s="62">
        <v>4</v>
      </c>
      <c r="U14" s="62">
        <v>10</v>
      </c>
      <c r="V14" s="62">
        <v>12</v>
      </c>
      <c r="W14" s="62">
        <v>35</v>
      </c>
    </row>
    <row r="15" spans="1:23" x14ac:dyDescent="0.25">
      <c r="A15" s="75" t="s">
        <v>170</v>
      </c>
      <c r="B15" s="62">
        <v>3.19</v>
      </c>
      <c r="C15" s="62">
        <v>5.5</v>
      </c>
      <c r="D15" s="62">
        <v>0.99</v>
      </c>
      <c r="E15" s="62">
        <v>2.5</v>
      </c>
      <c r="F15" s="62">
        <v>0.24</v>
      </c>
      <c r="G15" s="62">
        <v>0.75</v>
      </c>
      <c r="H15" s="62">
        <v>1.99</v>
      </c>
      <c r="I15" s="62">
        <v>4</v>
      </c>
      <c r="J15" s="62">
        <v>0.28999999999999998</v>
      </c>
      <c r="K15" s="62">
        <v>0.75</v>
      </c>
      <c r="L15" s="62">
        <v>8000</v>
      </c>
      <c r="M15" s="62">
        <v>15000</v>
      </c>
      <c r="N15" s="62">
        <v>69</v>
      </c>
      <c r="O15" s="62">
        <v>300</v>
      </c>
      <c r="P15" s="62">
        <v>24</v>
      </c>
      <c r="Q15" s="62">
        <v>200</v>
      </c>
      <c r="R15" s="62">
        <v>34</v>
      </c>
      <c r="S15" s="62">
        <v>200</v>
      </c>
      <c r="T15" s="62">
        <v>5</v>
      </c>
      <c r="U15" s="62">
        <v>15</v>
      </c>
      <c r="V15" s="62">
        <v>29</v>
      </c>
      <c r="W15" s="62">
        <v>100</v>
      </c>
    </row>
    <row r="16" spans="1:23" x14ac:dyDescent="0.25">
      <c r="A16" s="75" t="s">
        <v>171</v>
      </c>
      <c r="B16" s="62" t="s">
        <v>2</v>
      </c>
      <c r="C16" s="62" t="s">
        <v>2</v>
      </c>
      <c r="D16" s="62" t="s">
        <v>2</v>
      </c>
      <c r="E16" s="62" t="s">
        <v>2</v>
      </c>
      <c r="F16" s="62" t="s">
        <v>2</v>
      </c>
      <c r="G16" s="62" t="s">
        <v>2</v>
      </c>
      <c r="H16" s="62" t="s">
        <v>2</v>
      </c>
      <c r="I16" s="62" t="s">
        <v>2</v>
      </c>
      <c r="J16" s="62" t="s">
        <v>2</v>
      </c>
      <c r="K16" s="62" t="s">
        <v>2</v>
      </c>
      <c r="L16" s="62" t="s">
        <v>2</v>
      </c>
      <c r="M16" s="62" t="s">
        <v>2</v>
      </c>
      <c r="N16" s="62" t="s">
        <v>2</v>
      </c>
      <c r="O16" s="62" t="s">
        <v>2</v>
      </c>
      <c r="P16" s="62" t="s">
        <v>2</v>
      </c>
      <c r="Q16" s="62" t="s">
        <v>2</v>
      </c>
      <c r="R16" s="62" t="s">
        <v>2</v>
      </c>
      <c r="S16" s="62" t="s">
        <v>2</v>
      </c>
      <c r="T16" s="62" t="s">
        <v>2</v>
      </c>
      <c r="U16" s="62" t="s">
        <v>2</v>
      </c>
      <c r="V16" s="62" t="s">
        <v>2</v>
      </c>
      <c r="W16" s="62" t="s">
        <v>2</v>
      </c>
    </row>
    <row r="17" spans="1:23" x14ac:dyDescent="0.25">
      <c r="A17" s="75" t="s">
        <v>172</v>
      </c>
      <c r="B17" s="62">
        <v>4</v>
      </c>
      <c r="C17" s="62">
        <v>6</v>
      </c>
      <c r="D17" s="62">
        <v>1.2</v>
      </c>
      <c r="E17" s="62">
        <v>2.5</v>
      </c>
      <c r="F17" s="62">
        <v>0.3</v>
      </c>
      <c r="G17" s="62">
        <v>1</v>
      </c>
      <c r="H17" s="62">
        <v>3</v>
      </c>
      <c r="I17" s="62">
        <v>5</v>
      </c>
      <c r="J17" s="62">
        <v>0.3</v>
      </c>
      <c r="K17" s="62">
        <v>0.5</v>
      </c>
      <c r="L17" s="62">
        <v>12000</v>
      </c>
      <c r="M17" s="62">
        <v>15000</v>
      </c>
      <c r="N17" s="62">
        <v>50</v>
      </c>
      <c r="O17" s="62">
        <v>200</v>
      </c>
      <c r="P17" s="62">
        <v>50</v>
      </c>
      <c r="Q17" s="62">
        <v>250</v>
      </c>
      <c r="R17" s="62">
        <v>20</v>
      </c>
      <c r="S17" s="62">
        <v>200</v>
      </c>
      <c r="T17" s="62">
        <v>7</v>
      </c>
      <c r="U17" s="62">
        <v>20</v>
      </c>
      <c r="V17" s="62">
        <v>25</v>
      </c>
      <c r="W17" s="62">
        <v>75</v>
      </c>
    </row>
    <row r="18" spans="1:23" x14ac:dyDescent="0.25">
      <c r="A18" s="75" t="s">
        <v>173</v>
      </c>
      <c r="B18" s="62" t="s">
        <v>2</v>
      </c>
      <c r="C18" s="62" t="s">
        <v>2</v>
      </c>
      <c r="D18" s="62" t="s">
        <v>2</v>
      </c>
      <c r="E18" s="62" t="s">
        <v>2</v>
      </c>
      <c r="F18" s="62" t="s">
        <v>2</v>
      </c>
      <c r="G18" s="62" t="s">
        <v>2</v>
      </c>
      <c r="H18" s="62" t="s">
        <v>2</v>
      </c>
      <c r="I18" s="62" t="s">
        <v>2</v>
      </c>
      <c r="J18" s="62" t="s">
        <v>2</v>
      </c>
      <c r="K18" s="62" t="s">
        <v>2</v>
      </c>
      <c r="L18" s="62" t="s">
        <v>2</v>
      </c>
      <c r="M18" s="62" t="s">
        <v>2</v>
      </c>
      <c r="N18" s="62" t="s">
        <v>2</v>
      </c>
      <c r="O18" s="62" t="s">
        <v>2</v>
      </c>
      <c r="P18" s="62" t="s">
        <v>2</v>
      </c>
      <c r="Q18" s="62" t="s">
        <v>2</v>
      </c>
      <c r="R18" s="62" t="s">
        <v>2</v>
      </c>
      <c r="S18" s="62" t="s">
        <v>2</v>
      </c>
      <c r="T18" s="62" t="s">
        <v>2</v>
      </c>
      <c r="U18" s="62" t="s">
        <v>2</v>
      </c>
      <c r="V18" s="62" t="s">
        <v>2</v>
      </c>
      <c r="W18" s="62" t="s">
        <v>2</v>
      </c>
    </row>
    <row r="19" spans="1:23" x14ac:dyDescent="0.25">
      <c r="A19" s="75" t="s">
        <v>174</v>
      </c>
      <c r="B19" s="62">
        <v>2</v>
      </c>
      <c r="C19" s="62">
        <v>4.5</v>
      </c>
      <c r="D19" s="62">
        <v>1</v>
      </c>
      <c r="E19" s="62">
        <v>3</v>
      </c>
      <c r="F19" s="62">
        <v>0.2</v>
      </c>
      <c r="G19" s="62">
        <v>0.75</v>
      </c>
      <c r="H19" s="62">
        <v>2.9</v>
      </c>
      <c r="I19" s="62">
        <v>5.0999999999999996</v>
      </c>
      <c r="J19" s="62">
        <v>0.28000000000000003</v>
      </c>
      <c r="K19" s="62">
        <v>0.69</v>
      </c>
      <c r="L19" s="62">
        <v>0</v>
      </c>
      <c r="M19" s="62">
        <v>0</v>
      </c>
      <c r="N19" s="62">
        <v>30</v>
      </c>
      <c r="O19" s="62">
        <v>200</v>
      </c>
      <c r="P19" s="62">
        <v>25</v>
      </c>
      <c r="Q19" s="62">
        <v>250</v>
      </c>
      <c r="R19" s="62">
        <v>22</v>
      </c>
      <c r="S19" s="62">
        <v>49</v>
      </c>
      <c r="T19" s="62">
        <v>4</v>
      </c>
      <c r="U19" s="62">
        <v>25</v>
      </c>
      <c r="V19" s="62">
        <v>15</v>
      </c>
      <c r="W19" s="62">
        <v>54</v>
      </c>
    </row>
    <row r="20" spans="1:23" x14ac:dyDescent="0.25">
      <c r="A20" s="75" t="s">
        <v>175</v>
      </c>
      <c r="B20" s="62">
        <v>4.5</v>
      </c>
      <c r="C20" s="62">
        <v>5.5</v>
      </c>
      <c r="D20" s="62">
        <v>0.5</v>
      </c>
      <c r="E20" s="62">
        <v>2.2000000000000002</v>
      </c>
      <c r="F20" s="62">
        <v>0.25</v>
      </c>
      <c r="G20" s="62">
        <v>0.4</v>
      </c>
      <c r="H20" s="62">
        <v>3.5</v>
      </c>
      <c r="I20" s="62">
        <v>5</v>
      </c>
      <c r="J20" s="62">
        <v>0.3</v>
      </c>
      <c r="K20" s="62">
        <v>0.45</v>
      </c>
      <c r="L20" s="62">
        <v>0</v>
      </c>
      <c r="M20" s="62">
        <v>0</v>
      </c>
      <c r="N20" s="62">
        <v>60</v>
      </c>
      <c r="O20" s="62">
        <v>300</v>
      </c>
      <c r="P20" s="62">
        <v>50</v>
      </c>
      <c r="Q20" s="62">
        <v>250</v>
      </c>
      <c r="R20" s="62">
        <v>25</v>
      </c>
      <c r="S20" s="62">
        <v>100</v>
      </c>
      <c r="T20" s="62">
        <v>15</v>
      </c>
      <c r="U20" s="62">
        <v>35</v>
      </c>
      <c r="V20" s="62">
        <v>25</v>
      </c>
      <c r="W20" s="62">
        <v>75</v>
      </c>
    </row>
    <row r="21" spans="1:23" x14ac:dyDescent="0.25">
      <c r="A21" s="75" t="s">
        <v>176</v>
      </c>
      <c r="B21" s="62">
        <v>3.4</v>
      </c>
      <c r="C21" s="62">
        <v>4.5</v>
      </c>
      <c r="D21" s="62">
        <v>1</v>
      </c>
      <c r="E21" s="62">
        <v>1.8</v>
      </c>
      <c r="F21" s="62">
        <v>0.23</v>
      </c>
      <c r="G21" s="62">
        <v>0.3</v>
      </c>
      <c r="H21" s="62">
        <v>3</v>
      </c>
      <c r="I21" s="62">
        <v>4.5</v>
      </c>
      <c r="J21" s="62">
        <v>0.28000000000000003</v>
      </c>
      <c r="K21" s="62">
        <v>0.5</v>
      </c>
      <c r="L21" s="62">
        <v>0</v>
      </c>
      <c r="M21" s="62">
        <v>0</v>
      </c>
      <c r="N21" s="62">
        <v>60</v>
      </c>
      <c r="O21" s="62">
        <v>300</v>
      </c>
      <c r="P21" s="62">
        <v>50</v>
      </c>
      <c r="Q21" s="62">
        <v>250</v>
      </c>
      <c r="R21" s="62">
        <v>25</v>
      </c>
      <c r="S21" s="62">
        <v>100</v>
      </c>
      <c r="T21" s="62">
        <v>15</v>
      </c>
      <c r="U21" s="62">
        <v>35</v>
      </c>
      <c r="V21" s="62">
        <v>25</v>
      </c>
      <c r="W21" s="62">
        <v>75</v>
      </c>
    </row>
    <row r="22" spans="1:23" x14ac:dyDescent="0.25">
      <c r="A22" s="75" t="s">
        <v>177</v>
      </c>
      <c r="B22" s="62">
        <v>5</v>
      </c>
      <c r="C22" s="62">
        <v>6</v>
      </c>
      <c r="D22" s="62">
        <v>1</v>
      </c>
      <c r="E22" s="62">
        <v>3.5</v>
      </c>
      <c r="F22" s="62">
        <v>0.3</v>
      </c>
      <c r="G22" s="62">
        <v>0.5</v>
      </c>
      <c r="H22" s="62">
        <v>4</v>
      </c>
      <c r="I22" s="62">
        <v>5.5</v>
      </c>
      <c r="J22" s="62">
        <v>0.35</v>
      </c>
      <c r="K22" s="62">
        <v>0.5</v>
      </c>
      <c r="L22" s="62">
        <v>5000</v>
      </c>
      <c r="M22" s="62">
        <v>8000</v>
      </c>
      <c r="N22" s="62">
        <v>60</v>
      </c>
      <c r="O22" s="62">
        <v>300</v>
      </c>
      <c r="P22" s="62">
        <v>50</v>
      </c>
      <c r="Q22" s="62">
        <v>250</v>
      </c>
      <c r="R22" s="62">
        <v>25</v>
      </c>
      <c r="S22" s="62">
        <v>100</v>
      </c>
      <c r="T22" s="62">
        <v>15</v>
      </c>
      <c r="U22" s="62">
        <v>35</v>
      </c>
      <c r="V22" s="62">
        <v>22</v>
      </c>
      <c r="W22" s="62">
        <v>60</v>
      </c>
    </row>
    <row r="23" spans="1:23" x14ac:dyDescent="0.25">
      <c r="A23" s="75" t="s">
        <v>178</v>
      </c>
      <c r="B23" s="62" t="s">
        <v>2</v>
      </c>
      <c r="C23" s="62" t="s">
        <v>2</v>
      </c>
      <c r="D23" s="62" t="s">
        <v>2</v>
      </c>
      <c r="E23" s="62" t="s">
        <v>2</v>
      </c>
      <c r="F23" s="62" t="s">
        <v>2</v>
      </c>
      <c r="G23" s="62" t="s">
        <v>2</v>
      </c>
      <c r="H23" s="62" t="s">
        <v>2</v>
      </c>
      <c r="I23" s="62" t="s">
        <v>2</v>
      </c>
      <c r="J23" s="62" t="s">
        <v>2</v>
      </c>
      <c r="K23" s="62" t="s">
        <v>2</v>
      </c>
      <c r="L23" s="62" t="s">
        <v>2</v>
      </c>
      <c r="M23" s="62" t="s">
        <v>2</v>
      </c>
      <c r="N23" s="62" t="s">
        <v>2</v>
      </c>
      <c r="O23" s="62" t="s">
        <v>2</v>
      </c>
      <c r="P23" s="62" t="s">
        <v>2</v>
      </c>
      <c r="Q23" s="62" t="s">
        <v>2</v>
      </c>
      <c r="R23" s="62" t="s">
        <v>2</v>
      </c>
      <c r="S23" s="62" t="s">
        <v>2</v>
      </c>
      <c r="T23" s="62" t="s">
        <v>2</v>
      </c>
      <c r="U23" s="62" t="s">
        <v>2</v>
      </c>
      <c r="V23" s="62" t="s">
        <v>2</v>
      </c>
      <c r="W23" s="62" t="s">
        <v>2</v>
      </c>
    </row>
    <row r="24" spans="1:23" x14ac:dyDescent="0.25">
      <c r="A24" s="75" t="s">
        <v>179</v>
      </c>
      <c r="B24" s="62">
        <v>4</v>
      </c>
      <c r="C24" s="62">
        <v>5</v>
      </c>
      <c r="D24" s="62">
        <v>1.2</v>
      </c>
      <c r="E24" s="62">
        <v>2</v>
      </c>
      <c r="F24" s="62">
        <v>0.3</v>
      </c>
      <c r="G24" s="62">
        <v>0.7</v>
      </c>
      <c r="H24" s="62">
        <v>2</v>
      </c>
      <c r="I24" s="62">
        <v>3.5</v>
      </c>
      <c r="J24" s="62">
        <v>0.3</v>
      </c>
      <c r="K24" s="62">
        <v>0.8</v>
      </c>
      <c r="L24" s="62">
        <v>0</v>
      </c>
      <c r="M24" s="62">
        <v>0</v>
      </c>
      <c r="N24" s="62">
        <v>50</v>
      </c>
      <c r="O24" s="62">
        <v>300</v>
      </c>
      <c r="P24" s="62">
        <v>25</v>
      </c>
      <c r="Q24" s="62">
        <v>400</v>
      </c>
      <c r="R24" s="62">
        <v>25</v>
      </c>
      <c r="S24" s="62">
        <v>400</v>
      </c>
      <c r="T24" s="62">
        <v>7</v>
      </c>
      <c r="U24" s="62">
        <v>100</v>
      </c>
      <c r="V24" s="62">
        <v>5</v>
      </c>
      <c r="W24" s="62">
        <v>60</v>
      </c>
    </row>
    <row r="25" spans="1:23" x14ac:dyDescent="0.25">
      <c r="A25" s="77" t="s">
        <v>180</v>
      </c>
      <c r="B25" s="62">
        <v>4.75</v>
      </c>
      <c r="C25" s="62">
        <v>6.75</v>
      </c>
      <c r="D25" s="62">
        <v>1.78</v>
      </c>
      <c r="E25" s="62">
        <v>2.1</v>
      </c>
      <c r="F25" s="62">
        <v>0.27</v>
      </c>
      <c r="G25" s="62">
        <v>0.7</v>
      </c>
      <c r="H25" s="62">
        <v>4.4000000000000004</v>
      </c>
      <c r="I25" s="62">
        <v>5.5</v>
      </c>
      <c r="J25" s="62">
        <v>0.26</v>
      </c>
      <c r="K25" s="62">
        <v>0.46</v>
      </c>
      <c r="L25" s="62">
        <v>0</v>
      </c>
      <c r="M25" s="62">
        <v>0</v>
      </c>
      <c r="N25" s="62">
        <v>26</v>
      </c>
      <c r="O25" s="62">
        <v>70</v>
      </c>
      <c r="P25" s="62">
        <v>43</v>
      </c>
      <c r="Q25" s="62">
        <v>400</v>
      </c>
      <c r="R25" s="62">
        <v>28</v>
      </c>
      <c r="S25" s="62">
        <v>400</v>
      </c>
      <c r="T25" s="62">
        <v>13</v>
      </c>
      <c r="U25" s="62">
        <v>25</v>
      </c>
      <c r="V25" s="62">
        <v>10</v>
      </c>
      <c r="W25" s="62">
        <v>15</v>
      </c>
    </row>
    <row r="26" spans="1:23" x14ac:dyDescent="0.25">
      <c r="A26" s="77" t="s">
        <v>181</v>
      </c>
      <c r="B26" s="62" t="s">
        <v>2</v>
      </c>
      <c r="C26" s="62" t="s">
        <v>2</v>
      </c>
      <c r="D26" s="62" t="s">
        <v>2</v>
      </c>
      <c r="E26" s="62" t="s">
        <v>2</v>
      </c>
      <c r="F26" s="62" t="s">
        <v>2</v>
      </c>
      <c r="G26" s="62" t="s">
        <v>2</v>
      </c>
      <c r="H26" s="62" t="s">
        <v>2</v>
      </c>
      <c r="I26" s="62" t="s">
        <v>2</v>
      </c>
      <c r="J26" s="62" t="s">
        <v>2</v>
      </c>
      <c r="K26" s="62" t="s">
        <v>2</v>
      </c>
      <c r="L26" s="62" t="s">
        <v>2</v>
      </c>
      <c r="M26" s="62" t="s">
        <v>2</v>
      </c>
      <c r="N26" s="62" t="s">
        <v>2</v>
      </c>
      <c r="O26" s="62" t="s">
        <v>2</v>
      </c>
      <c r="P26" s="62" t="s">
        <v>2</v>
      </c>
      <c r="Q26" s="62" t="s">
        <v>2</v>
      </c>
      <c r="R26" s="62" t="s">
        <v>2</v>
      </c>
      <c r="S26" s="62" t="s">
        <v>2</v>
      </c>
      <c r="T26" s="62" t="s">
        <v>2</v>
      </c>
      <c r="U26" s="62" t="s">
        <v>2</v>
      </c>
      <c r="V26" s="62" t="s">
        <v>2</v>
      </c>
      <c r="W26" s="62" t="s">
        <v>2</v>
      </c>
    </row>
    <row r="27" spans="1:23" x14ac:dyDescent="0.25">
      <c r="A27" s="75" t="s">
        <v>182</v>
      </c>
      <c r="B27" s="62">
        <v>4</v>
      </c>
      <c r="C27" s="62">
        <v>6</v>
      </c>
      <c r="D27" s="62">
        <v>1</v>
      </c>
      <c r="E27" s="62">
        <v>2.5</v>
      </c>
      <c r="F27" s="62">
        <v>0.3</v>
      </c>
      <c r="G27" s="62">
        <v>1</v>
      </c>
      <c r="H27" s="62">
        <v>4</v>
      </c>
      <c r="I27" s="62">
        <v>6</v>
      </c>
      <c r="J27" s="62">
        <v>0.35</v>
      </c>
      <c r="K27" s="62">
        <v>1</v>
      </c>
      <c r="L27" s="62">
        <v>7000</v>
      </c>
      <c r="M27" s="62">
        <v>10000</v>
      </c>
      <c r="N27" s="62">
        <v>60</v>
      </c>
      <c r="O27" s="62">
        <v>300</v>
      </c>
      <c r="P27" s="62">
        <v>50</v>
      </c>
      <c r="Q27" s="62">
        <v>250</v>
      </c>
      <c r="R27" s="62">
        <v>20</v>
      </c>
      <c r="S27" s="62">
        <v>200</v>
      </c>
      <c r="T27" s="62">
        <v>6</v>
      </c>
      <c r="U27" s="62">
        <v>25</v>
      </c>
      <c r="V27" s="62">
        <v>25</v>
      </c>
      <c r="W27" s="62">
        <v>75</v>
      </c>
    </row>
    <row r="28" spans="1:23" x14ac:dyDescent="0.25">
      <c r="A28" s="74" t="s">
        <v>183</v>
      </c>
      <c r="B28" s="72">
        <v>3.5</v>
      </c>
      <c r="C28" s="72">
        <v>5</v>
      </c>
      <c r="D28" s="72">
        <v>1.3</v>
      </c>
      <c r="E28" s="72">
        <v>2.8</v>
      </c>
      <c r="F28" s="72">
        <v>0.3</v>
      </c>
      <c r="G28" s="72">
        <v>1</v>
      </c>
      <c r="H28" s="72">
        <v>3.5</v>
      </c>
      <c r="I28" s="72">
        <v>4.5</v>
      </c>
      <c r="J28" s="72">
        <v>0.22</v>
      </c>
      <c r="K28" s="72">
        <v>0.7</v>
      </c>
      <c r="L28" s="72">
        <v>5000</v>
      </c>
      <c r="M28" s="72">
        <v>8000</v>
      </c>
      <c r="N28" s="72">
        <v>60</v>
      </c>
      <c r="O28" s="72">
        <v>300</v>
      </c>
      <c r="P28" s="72">
        <v>50</v>
      </c>
      <c r="Q28" s="72">
        <v>250</v>
      </c>
      <c r="R28" s="72">
        <v>20</v>
      </c>
      <c r="S28" s="72">
        <v>200</v>
      </c>
      <c r="T28" s="72">
        <v>6</v>
      </c>
      <c r="U28" s="72">
        <v>25</v>
      </c>
      <c r="V28" s="72">
        <v>25</v>
      </c>
      <c r="W28" s="72">
        <v>75</v>
      </c>
    </row>
    <row r="29" spans="1:23" x14ac:dyDescent="0.25">
      <c r="A29" s="74" t="s">
        <v>184</v>
      </c>
      <c r="B29" s="62">
        <v>3.5</v>
      </c>
      <c r="C29" s="62">
        <v>5</v>
      </c>
      <c r="D29" s="62">
        <v>1.3</v>
      </c>
      <c r="E29" s="62">
        <v>2.8</v>
      </c>
      <c r="F29" s="62">
        <v>0.3</v>
      </c>
      <c r="G29" s="62">
        <v>1</v>
      </c>
      <c r="H29" s="62">
        <v>3.5</v>
      </c>
      <c r="I29" s="62">
        <v>4.5</v>
      </c>
      <c r="J29" s="62">
        <v>0.21</v>
      </c>
      <c r="K29" s="62">
        <v>0.7</v>
      </c>
      <c r="L29" s="62">
        <v>5000</v>
      </c>
      <c r="M29" s="62">
        <v>9000</v>
      </c>
      <c r="N29" s="62">
        <v>60</v>
      </c>
      <c r="O29" s="62">
        <v>300</v>
      </c>
      <c r="P29" s="62">
        <v>25</v>
      </c>
      <c r="Q29" s="62">
        <v>250</v>
      </c>
      <c r="R29" s="62">
        <v>20</v>
      </c>
      <c r="S29" s="62">
        <v>200</v>
      </c>
      <c r="T29" s="62">
        <v>5</v>
      </c>
      <c r="U29" s="62">
        <v>25</v>
      </c>
      <c r="V29" s="62">
        <v>25</v>
      </c>
      <c r="W29" s="62">
        <v>75</v>
      </c>
    </row>
    <row r="30" spans="1:23" x14ac:dyDescent="0.25">
      <c r="A30" s="75" t="s">
        <v>185</v>
      </c>
      <c r="B30" s="62" t="s">
        <v>2</v>
      </c>
      <c r="C30" s="62" t="s">
        <v>2</v>
      </c>
      <c r="D30" s="62" t="s">
        <v>2</v>
      </c>
      <c r="E30" s="62" t="s">
        <v>2</v>
      </c>
      <c r="F30" s="62" t="s">
        <v>2</v>
      </c>
      <c r="G30" s="62" t="s">
        <v>2</v>
      </c>
      <c r="H30" s="62" t="s">
        <v>2</v>
      </c>
      <c r="I30" s="62" t="s">
        <v>2</v>
      </c>
      <c r="J30" s="62" t="s">
        <v>2</v>
      </c>
      <c r="K30" s="62" t="s">
        <v>2</v>
      </c>
      <c r="L30" s="62" t="s">
        <v>2</v>
      </c>
      <c r="M30" s="62" t="s">
        <v>2</v>
      </c>
      <c r="N30" s="62" t="s">
        <v>2</v>
      </c>
      <c r="O30" s="62" t="s">
        <v>2</v>
      </c>
      <c r="P30" s="62" t="s">
        <v>2</v>
      </c>
      <c r="Q30" s="62" t="s">
        <v>2</v>
      </c>
      <c r="R30" s="62" t="s">
        <v>2</v>
      </c>
      <c r="S30" s="62" t="s">
        <v>2</v>
      </c>
      <c r="T30" s="62" t="s">
        <v>2</v>
      </c>
      <c r="U30" s="62" t="s">
        <v>2</v>
      </c>
      <c r="V30" s="62" t="s">
        <v>2</v>
      </c>
      <c r="W30" s="62" t="s">
        <v>2</v>
      </c>
    </row>
    <row r="31" spans="1:23" x14ac:dyDescent="0.25">
      <c r="A31" s="75" t="s">
        <v>186</v>
      </c>
      <c r="B31" s="62">
        <v>3</v>
      </c>
      <c r="C31" s="62">
        <v>3.4</v>
      </c>
      <c r="D31" s="62">
        <v>1.1000000000000001</v>
      </c>
      <c r="E31" s="62">
        <v>4</v>
      </c>
      <c r="F31" s="62">
        <v>0.17</v>
      </c>
      <c r="G31" s="62">
        <v>0.44</v>
      </c>
      <c r="H31" s="62">
        <v>0.9</v>
      </c>
      <c r="I31" s="62">
        <v>1.1000000000000001</v>
      </c>
      <c r="J31" s="62">
        <v>0.15</v>
      </c>
      <c r="K31" s="62">
        <v>0.25</v>
      </c>
      <c r="L31" s="62">
        <v>0</v>
      </c>
      <c r="M31" s="62">
        <v>0</v>
      </c>
      <c r="N31" s="62">
        <v>60</v>
      </c>
      <c r="O31" s="62">
        <v>150</v>
      </c>
      <c r="P31" s="62">
        <v>25</v>
      </c>
      <c r="Q31" s="62">
        <v>200</v>
      </c>
      <c r="R31" s="62">
        <v>5</v>
      </c>
      <c r="S31" s="62">
        <v>30</v>
      </c>
      <c r="T31" s="62">
        <v>5</v>
      </c>
      <c r="U31" s="62">
        <v>30</v>
      </c>
      <c r="V31" s="62">
        <v>30</v>
      </c>
      <c r="W31" s="62">
        <v>100</v>
      </c>
    </row>
    <row r="32" spans="1:23" x14ac:dyDescent="0.25">
      <c r="A32" s="75" t="s">
        <v>187</v>
      </c>
      <c r="B32" s="62">
        <v>3.5</v>
      </c>
      <c r="C32" s="62">
        <v>5</v>
      </c>
      <c r="D32" s="62">
        <v>1.3</v>
      </c>
      <c r="E32" s="62">
        <v>2.8</v>
      </c>
      <c r="F32" s="62">
        <v>0.3</v>
      </c>
      <c r="G32" s="62">
        <v>1</v>
      </c>
      <c r="H32" s="62">
        <v>3.5</v>
      </c>
      <c r="I32" s="62">
        <v>4.5</v>
      </c>
      <c r="J32" s="62">
        <v>0.22</v>
      </c>
      <c r="K32" s="62">
        <v>0.7</v>
      </c>
      <c r="L32" s="62">
        <v>5000</v>
      </c>
      <c r="M32" s="62">
        <v>8000</v>
      </c>
      <c r="N32" s="62">
        <v>60</v>
      </c>
      <c r="O32" s="62">
        <v>300</v>
      </c>
      <c r="P32" s="62">
        <v>50</v>
      </c>
      <c r="Q32" s="62">
        <v>250</v>
      </c>
      <c r="R32" s="62">
        <v>20</v>
      </c>
      <c r="S32" s="62">
        <v>200</v>
      </c>
      <c r="T32" s="62">
        <v>5</v>
      </c>
      <c r="U32" s="62">
        <v>25</v>
      </c>
      <c r="V32" s="62">
        <v>25</v>
      </c>
      <c r="W32" s="62">
        <v>75</v>
      </c>
    </row>
    <row r="33" spans="1:23" x14ac:dyDescent="0.25">
      <c r="A33" s="75" t="s">
        <v>188</v>
      </c>
      <c r="B33" s="62">
        <v>3.5</v>
      </c>
      <c r="C33" s="62">
        <v>5</v>
      </c>
      <c r="D33" s="62">
        <v>1.3</v>
      </c>
      <c r="E33" s="62">
        <v>2.8</v>
      </c>
      <c r="F33" s="62">
        <v>0.3</v>
      </c>
      <c r="G33" s="62">
        <v>1</v>
      </c>
      <c r="H33" s="62">
        <v>3.5</v>
      </c>
      <c r="I33" s="62">
        <v>4.5</v>
      </c>
      <c r="J33" s="62">
        <v>0.21</v>
      </c>
      <c r="K33" s="62">
        <v>0.7</v>
      </c>
      <c r="L33" s="62">
        <v>5000</v>
      </c>
      <c r="M33" s="62">
        <v>8000</v>
      </c>
      <c r="N33" s="62">
        <v>60</v>
      </c>
      <c r="O33" s="62">
        <v>300</v>
      </c>
      <c r="P33" s="62">
        <v>50</v>
      </c>
      <c r="Q33" s="62">
        <v>250</v>
      </c>
      <c r="R33" s="62">
        <v>20</v>
      </c>
      <c r="S33" s="62">
        <v>200</v>
      </c>
      <c r="T33" s="62">
        <v>5</v>
      </c>
      <c r="U33" s="62">
        <v>25</v>
      </c>
      <c r="V33" s="62">
        <v>25</v>
      </c>
      <c r="W33" s="62">
        <v>75</v>
      </c>
    </row>
    <row r="34" spans="1:23" x14ac:dyDescent="0.25">
      <c r="A34" s="75" t="s">
        <v>189</v>
      </c>
      <c r="B34" s="62">
        <v>4</v>
      </c>
      <c r="C34" s="62">
        <v>6</v>
      </c>
      <c r="D34" s="62">
        <v>1</v>
      </c>
      <c r="E34" s="62">
        <v>2.5</v>
      </c>
      <c r="F34" s="62">
        <v>0.3</v>
      </c>
      <c r="G34" s="62">
        <v>1</v>
      </c>
      <c r="H34" s="62">
        <v>4</v>
      </c>
      <c r="I34" s="62">
        <v>6</v>
      </c>
      <c r="J34" s="62">
        <v>0.35</v>
      </c>
      <c r="K34" s="62">
        <v>1</v>
      </c>
      <c r="L34" s="62">
        <v>5000</v>
      </c>
      <c r="M34" s="62">
        <v>8000</v>
      </c>
      <c r="N34" s="62">
        <v>60</v>
      </c>
      <c r="O34" s="62">
        <v>300</v>
      </c>
      <c r="P34" s="62">
        <v>50</v>
      </c>
      <c r="Q34" s="62">
        <v>250</v>
      </c>
      <c r="R34" s="62">
        <v>20</v>
      </c>
      <c r="S34" s="62">
        <v>200</v>
      </c>
      <c r="T34" s="62">
        <v>5</v>
      </c>
      <c r="U34" s="62">
        <v>25</v>
      </c>
      <c r="V34" s="62">
        <v>25</v>
      </c>
      <c r="W34" s="62">
        <v>75</v>
      </c>
    </row>
    <row r="35" spans="1:23" x14ac:dyDescent="0.25">
      <c r="A35" s="74" t="s">
        <v>190</v>
      </c>
      <c r="B35" s="62">
        <v>4</v>
      </c>
      <c r="C35" s="62">
        <v>6</v>
      </c>
      <c r="D35" s="62">
        <v>1</v>
      </c>
      <c r="E35" s="62">
        <v>2.5</v>
      </c>
      <c r="F35" s="62">
        <v>0.3</v>
      </c>
      <c r="G35" s="62">
        <v>1</v>
      </c>
      <c r="H35" s="62">
        <v>4</v>
      </c>
      <c r="I35" s="62">
        <v>6</v>
      </c>
      <c r="J35" s="62">
        <v>0.35</v>
      </c>
      <c r="K35" s="62">
        <v>1</v>
      </c>
      <c r="L35" s="62">
        <v>7000</v>
      </c>
      <c r="M35" s="62">
        <v>10000</v>
      </c>
      <c r="N35" s="62">
        <v>60</v>
      </c>
      <c r="O35" s="62">
        <v>300</v>
      </c>
      <c r="P35" s="62">
        <v>50</v>
      </c>
      <c r="Q35" s="62">
        <v>250</v>
      </c>
      <c r="R35" s="62">
        <v>20</v>
      </c>
      <c r="S35" s="62">
        <v>200</v>
      </c>
      <c r="T35" s="62">
        <v>6</v>
      </c>
      <c r="U35" s="62">
        <v>20</v>
      </c>
      <c r="V35" s="62">
        <v>25</v>
      </c>
      <c r="W35" s="62">
        <v>75</v>
      </c>
    </row>
    <row r="36" spans="1:23" x14ac:dyDescent="0.25">
      <c r="A36" s="74" t="s">
        <v>191</v>
      </c>
      <c r="B36" s="62">
        <v>3.5</v>
      </c>
      <c r="C36" s="62">
        <v>5</v>
      </c>
      <c r="D36" s="62">
        <v>1.3</v>
      </c>
      <c r="E36" s="62">
        <v>2.8</v>
      </c>
      <c r="F36" s="62">
        <v>0.3</v>
      </c>
      <c r="G36" s="62">
        <v>1</v>
      </c>
      <c r="H36" s="62">
        <v>3.5</v>
      </c>
      <c r="I36" s="62">
        <v>4.5</v>
      </c>
      <c r="J36" s="62">
        <v>0.22</v>
      </c>
      <c r="K36" s="62">
        <v>0.7</v>
      </c>
      <c r="L36" s="62">
        <v>5000</v>
      </c>
      <c r="M36" s="62">
        <v>8000</v>
      </c>
      <c r="N36" s="62">
        <v>60</v>
      </c>
      <c r="O36" s="62">
        <v>300</v>
      </c>
      <c r="P36" s="62">
        <v>50</v>
      </c>
      <c r="Q36" s="62">
        <v>250</v>
      </c>
      <c r="R36" s="62">
        <v>20</v>
      </c>
      <c r="S36" s="62">
        <v>200</v>
      </c>
      <c r="T36" s="62">
        <v>5</v>
      </c>
      <c r="U36" s="62">
        <v>25</v>
      </c>
      <c r="V36" s="62">
        <v>25</v>
      </c>
      <c r="W36" s="62">
        <v>75</v>
      </c>
    </row>
    <row r="37" spans="1:23" x14ac:dyDescent="0.25">
      <c r="A37" s="74" t="s">
        <v>192</v>
      </c>
      <c r="B37" s="62">
        <v>3.5</v>
      </c>
      <c r="C37" s="62">
        <v>5</v>
      </c>
      <c r="D37" s="62">
        <v>1.3</v>
      </c>
      <c r="E37" s="62">
        <v>2.8</v>
      </c>
      <c r="F37" s="62">
        <v>0.3</v>
      </c>
      <c r="G37" s="62">
        <v>1</v>
      </c>
      <c r="H37" s="62">
        <v>3.5</v>
      </c>
      <c r="I37" s="62">
        <v>4.5</v>
      </c>
      <c r="J37" s="62">
        <v>0.21</v>
      </c>
      <c r="K37" s="62">
        <v>0.7</v>
      </c>
      <c r="L37" s="62">
        <v>5000</v>
      </c>
      <c r="M37" s="62">
        <v>8000</v>
      </c>
      <c r="N37" s="62">
        <v>60</v>
      </c>
      <c r="O37" s="62">
        <v>300</v>
      </c>
      <c r="P37" s="62">
        <v>50</v>
      </c>
      <c r="Q37" s="62">
        <v>250</v>
      </c>
      <c r="R37" s="62">
        <v>20</v>
      </c>
      <c r="S37" s="62">
        <v>200</v>
      </c>
      <c r="T37" s="62">
        <v>5</v>
      </c>
      <c r="U37" s="62">
        <v>25</v>
      </c>
      <c r="V37" s="62">
        <v>25</v>
      </c>
      <c r="W37" s="62">
        <v>75</v>
      </c>
    </row>
    <row r="38" spans="1:23" x14ac:dyDescent="0.25">
      <c r="A38" s="74" t="s">
        <v>193</v>
      </c>
      <c r="B38" s="62">
        <v>3.5</v>
      </c>
      <c r="C38" s="62">
        <v>5</v>
      </c>
      <c r="D38" s="62">
        <v>1.3</v>
      </c>
      <c r="E38" s="62">
        <v>2.8</v>
      </c>
      <c r="F38" s="62">
        <v>0.3</v>
      </c>
      <c r="G38" s="62">
        <v>1</v>
      </c>
      <c r="H38" s="62">
        <v>3.5</v>
      </c>
      <c r="I38" s="62">
        <v>4.5</v>
      </c>
      <c r="J38" s="62">
        <v>0.22</v>
      </c>
      <c r="K38" s="62">
        <v>0.7</v>
      </c>
      <c r="L38" s="62">
        <v>5000</v>
      </c>
      <c r="M38" s="62">
        <v>8000</v>
      </c>
      <c r="N38" s="62">
        <v>60</v>
      </c>
      <c r="O38" s="62">
        <v>300</v>
      </c>
      <c r="P38" s="62">
        <v>50</v>
      </c>
      <c r="Q38" s="62">
        <v>250</v>
      </c>
      <c r="R38" s="62">
        <v>20</v>
      </c>
      <c r="S38" s="62">
        <v>200</v>
      </c>
      <c r="T38" s="62">
        <v>6</v>
      </c>
      <c r="U38" s="62">
        <v>25</v>
      </c>
      <c r="V38" s="62">
        <v>25</v>
      </c>
      <c r="W38" s="62">
        <v>75</v>
      </c>
    </row>
    <row r="39" spans="1:23" x14ac:dyDescent="0.25">
      <c r="A39" s="74" t="s">
        <v>194</v>
      </c>
      <c r="B39" s="62" t="s">
        <v>2</v>
      </c>
      <c r="C39" s="62" t="s">
        <v>2</v>
      </c>
      <c r="D39" s="62" t="s">
        <v>2</v>
      </c>
      <c r="E39" s="62" t="s">
        <v>2</v>
      </c>
      <c r="F39" s="62" t="s">
        <v>2</v>
      </c>
      <c r="G39" s="62" t="s">
        <v>2</v>
      </c>
      <c r="H39" s="62" t="s">
        <v>2</v>
      </c>
      <c r="I39" s="62" t="s">
        <v>2</v>
      </c>
      <c r="J39" s="62" t="s">
        <v>2</v>
      </c>
      <c r="K39" s="62" t="s">
        <v>2</v>
      </c>
      <c r="L39" s="62" t="s">
        <v>2</v>
      </c>
      <c r="M39" s="62" t="s">
        <v>2</v>
      </c>
      <c r="N39" s="62" t="s">
        <v>2</v>
      </c>
      <c r="O39" s="62" t="s">
        <v>2</v>
      </c>
      <c r="P39" s="62" t="s">
        <v>2</v>
      </c>
      <c r="Q39" s="62" t="s">
        <v>2</v>
      </c>
      <c r="R39" s="62" t="s">
        <v>2</v>
      </c>
      <c r="S39" s="62" t="s">
        <v>2</v>
      </c>
      <c r="T39" s="62" t="s">
        <v>2</v>
      </c>
      <c r="U39" s="62" t="s">
        <v>2</v>
      </c>
      <c r="V39" s="62" t="s">
        <v>2</v>
      </c>
      <c r="W39" s="62" t="s">
        <v>2</v>
      </c>
    </row>
    <row r="40" spans="1:23" x14ac:dyDescent="0.25">
      <c r="A40" s="75" t="s">
        <v>195</v>
      </c>
      <c r="B40" s="62" t="s">
        <v>2</v>
      </c>
      <c r="C40" s="62" t="s">
        <v>2</v>
      </c>
      <c r="D40" s="62" t="s">
        <v>2</v>
      </c>
      <c r="E40" s="62" t="s">
        <v>2</v>
      </c>
      <c r="F40" s="62" t="s">
        <v>2</v>
      </c>
      <c r="G40" s="62" t="s">
        <v>2</v>
      </c>
      <c r="H40" s="62" t="s">
        <v>2</v>
      </c>
      <c r="I40" s="62" t="s">
        <v>2</v>
      </c>
      <c r="J40" s="62" t="s">
        <v>2</v>
      </c>
      <c r="K40" s="62" t="s">
        <v>2</v>
      </c>
      <c r="L40" s="62" t="s">
        <v>2</v>
      </c>
      <c r="M40" s="62" t="s">
        <v>2</v>
      </c>
      <c r="N40" s="62" t="s">
        <v>2</v>
      </c>
      <c r="O40" s="62" t="s">
        <v>2</v>
      </c>
      <c r="P40" s="62" t="s">
        <v>2</v>
      </c>
      <c r="Q40" s="62" t="s">
        <v>2</v>
      </c>
      <c r="R40" s="62" t="s">
        <v>2</v>
      </c>
      <c r="S40" s="62" t="s">
        <v>2</v>
      </c>
      <c r="T40" s="62" t="s">
        <v>2</v>
      </c>
      <c r="U40" s="62" t="s">
        <v>2</v>
      </c>
      <c r="V40" s="62" t="s">
        <v>2</v>
      </c>
      <c r="W40" s="62" t="s">
        <v>2</v>
      </c>
    </row>
    <row r="41" spans="1:23" x14ac:dyDescent="0.25">
      <c r="A41" s="75" t="s">
        <v>196</v>
      </c>
      <c r="B41" s="62">
        <v>2.5</v>
      </c>
      <c r="C41" s="62">
        <v>4</v>
      </c>
      <c r="D41" s="62">
        <v>0.6</v>
      </c>
      <c r="E41" s="62">
        <v>1</v>
      </c>
      <c r="F41" s="62">
        <v>0.25</v>
      </c>
      <c r="G41" s="62">
        <v>0.3</v>
      </c>
      <c r="H41" s="62">
        <v>1.5</v>
      </c>
      <c r="I41" s="62">
        <v>2.8</v>
      </c>
      <c r="J41" s="62">
        <v>0.25</v>
      </c>
      <c r="K41" s="62">
        <v>0.5</v>
      </c>
      <c r="L41" s="62">
        <v>500</v>
      </c>
      <c r="M41" s="62">
        <v>1000</v>
      </c>
      <c r="N41" s="62">
        <v>40</v>
      </c>
      <c r="O41" s="62">
        <v>250</v>
      </c>
      <c r="P41" s="62">
        <v>25</v>
      </c>
      <c r="Q41" s="62">
        <v>200</v>
      </c>
      <c r="R41" s="62">
        <v>20</v>
      </c>
      <c r="S41" s="62">
        <v>200</v>
      </c>
      <c r="T41" s="62">
        <v>5</v>
      </c>
      <c r="U41" s="62">
        <v>25</v>
      </c>
      <c r="V41" s="62">
        <v>40</v>
      </c>
      <c r="W41" s="62">
        <v>100</v>
      </c>
    </row>
    <row r="42" spans="1:23" x14ac:dyDescent="0.25">
      <c r="A42" s="75" t="s">
        <v>197</v>
      </c>
      <c r="B42" s="62">
        <v>3</v>
      </c>
      <c r="C42" s="62">
        <v>6</v>
      </c>
      <c r="D42" s="62">
        <v>0.8</v>
      </c>
      <c r="E42" s="62">
        <v>3</v>
      </c>
      <c r="F42" s="62">
        <v>0.25</v>
      </c>
      <c r="G42" s="62">
        <v>1</v>
      </c>
      <c r="H42" s="62">
        <v>1.8</v>
      </c>
      <c r="I42" s="62">
        <v>4</v>
      </c>
      <c r="J42" s="62">
        <v>0.25</v>
      </c>
      <c r="K42" s="62">
        <v>0.75</v>
      </c>
      <c r="L42" s="62">
        <v>2000</v>
      </c>
      <c r="M42" s="62">
        <v>3000</v>
      </c>
      <c r="N42" s="62">
        <v>50</v>
      </c>
      <c r="O42" s="62">
        <v>400</v>
      </c>
      <c r="P42" s="62">
        <v>30</v>
      </c>
      <c r="Q42" s="62">
        <v>300</v>
      </c>
      <c r="R42" s="62">
        <v>20</v>
      </c>
      <c r="S42" s="62">
        <v>200</v>
      </c>
      <c r="T42" s="62">
        <v>5</v>
      </c>
      <c r="U42" s="62">
        <v>30</v>
      </c>
      <c r="V42" s="62">
        <v>20</v>
      </c>
      <c r="W42" s="62">
        <v>75</v>
      </c>
    </row>
    <row r="43" spans="1:23" x14ac:dyDescent="0.25">
      <c r="A43" s="75" t="s">
        <v>198</v>
      </c>
      <c r="B43" s="62">
        <v>3</v>
      </c>
      <c r="C43" s="62">
        <v>6</v>
      </c>
      <c r="D43" s="62">
        <v>0.8</v>
      </c>
      <c r="E43" s="62">
        <v>3</v>
      </c>
      <c r="F43" s="62">
        <v>0.25</v>
      </c>
      <c r="G43" s="62">
        <v>1</v>
      </c>
      <c r="H43" s="62">
        <v>1.8</v>
      </c>
      <c r="I43" s="62">
        <v>4</v>
      </c>
      <c r="J43" s="62">
        <v>0.25</v>
      </c>
      <c r="K43" s="62">
        <v>0.75</v>
      </c>
      <c r="L43" s="62">
        <v>0</v>
      </c>
      <c r="M43" s="62">
        <v>0</v>
      </c>
      <c r="N43" s="62">
        <v>50</v>
      </c>
      <c r="O43" s="62">
        <v>400</v>
      </c>
      <c r="P43" s="62">
        <v>30</v>
      </c>
      <c r="Q43" s="62">
        <v>300</v>
      </c>
      <c r="R43" s="62">
        <v>20</v>
      </c>
      <c r="S43" s="62">
        <v>200</v>
      </c>
      <c r="T43" s="62">
        <v>5</v>
      </c>
      <c r="U43" s="62">
        <v>30</v>
      </c>
      <c r="V43" s="62">
        <v>20</v>
      </c>
      <c r="W43" s="62">
        <v>75</v>
      </c>
    </row>
    <row r="44" spans="1:23" x14ac:dyDescent="0.25">
      <c r="A44" s="75" t="s">
        <v>199</v>
      </c>
      <c r="B44" s="62">
        <v>3</v>
      </c>
      <c r="C44" s="62">
        <v>6</v>
      </c>
      <c r="D44" s="62">
        <v>0.8</v>
      </c>
      <c r="E44" s="62">
        <v>3</v>
      </c>
      <c r="F44" s="62">
        <v>0.25</v>
      </c>
      <c r="G44" s="62">
        <v>1</v>
      </c>
      <c r="H44" s="62">
        <v>1.8</v>
      </c>
      <c r="I44" s="62">
        <v>4</v>
      </c>
      <c r="J44" s="62">
        <v>0.25</v>
      </c>
      <c r="K44" s="62">
        <v>0.75</v>
      </c>
      <c r="L44" s="62">
        <v>0</v>
      </c>
      <c r="M44" s="62">
        <v>0</v>
      </c>
      <c r="N44" s="62">
        <v>50</v>
      </c>
      <c r="O44" s="62">
        <v>300</v>
      </c>
      <c r="P44" s="62">
        <v>30</v>
      </c>
      <c r="Q44" s="62">
        <v>300</v>
      </c>
      <c r="R44" s="62">
        <v>20</v>
      </c>
      <c r="S44" s="62">
        <v>200</v>
      </c>
      <c r="T44" s="62">
        <v>5</v>
      </c>
      <c r="U44" s="62">
        <v>30</v>
      </c>
      <c r="V44" s="62">
        <v>20</v>
      </c>
      <c r="W44" s="62">
        <v>75</v>
      </c>
    </row>
    <row r="45" spans="1:23" x14ac:dyDescent="0.25">
      <c r="A45" s="75" t="s">
        <v>200</v>
      </c>
      <c r="B45" s="62">
        <v>1.2</v>
      </c>
      <c r="C45" s="62">
        <v>2</v>
      </c>
      <c r="D45" s="62">
        <v>0.7</v>
      </c>
      <c r="E45" s="62">
        <v>1.5</v>
      </c>
      <c r="F45" s="62">
        <v>0.3</v>
      </c>
      <c r="G45" s="62">
        <v>0.4</v>
      </c>
      <c r="H45" s="62">
        <v>0.6</v>
      </c>
      <c r="I45" s="62">
        <v>0.8</v>
      </c>
      <c r="J45" s="62">
        <v>0.1</v>
      </c>
      <c r="K45" s="62">
        <v>2</v>
      </c>
      <c r="L45" s="62">
        <v>0</v>
      </c>
      <c r="M45" s="62">
        <v>0</v>
      </c>
      <c r="N45" s="62">
        <v>60</v>
      </c>
      <c r="O45" s="62">
        <v>120</v>
      </c>
      <c r="P45" s="62">
        <v>20</v>
      </c>
      <c r="Q45" s="62">
        <v>70</v>
      </c>
      <c r="R45" s="62">
        <v>40</v>
      </c>
      <c r="S45" s="62">
        <v>70</v>
      </c>
      <c r="T45" s="62">
        <v>10</v>
      </c>
      <c r="U45" s="62">
        <v>20</v>
      </c>
      <c r="V45" s="62">
        <v>10</v>
      </c>
      <c r="W45" s="62">
        <v>20</v>
      </c>
    </row>
    <row r="46" spans="1:23" x14ac:dyDescent="0.25">
      <c r="A46" s="75" t="s">
        <v>285</v>
      </c>
      <c r="B46" s="62">
        <v>2</v>
      </c>
      <c r="C46" s="62">
        <v>2.5</v>
      </c>
      <c r="D46" s="62">
        <v>3</v>
      </c>
      <c r="E46" s="62">
        <v>5</v>
      </c>
      <c r="F46" s="62">
        <v>0.75</v>
      </c>
      <c r="G46" s="62">
        <v>1.5</v>
      </c>
      <c r="H46" s="62">
        <v>1</v>
      </c>
      <c r="I46" s="62">
        <v>2</v>
      </c>
      <c r="J46" s="62">
        <v>0.1</v>
      </c>
      <c r="K46" s="62">
        <v>0.3</v>
      </c>
      <c r="L46" s="62">
        <v>0</v>
      </c>
      <c r="M46" s="62">
        <v>0</v>
      </c>
      <c r="N46" s="62">
        <v>50</v>
      </c>
      <c r="O46" s="62">
        <v>200</v>
      </c>
      <c r="P46" s="62">
        <v>20</v>
      </c>
      <c r="Q46" s="62">
        <v>100</v>
      </c>
      <c r="R46" s="62">
        <v>15</v>
      </c>
      <c r="S46" s="62">
        <v>50</v>
      </c>
      <c r="T46" s="62">
        <v>4</v>
      </c>
      <c r="U46" s="62">
        <v>8</v>
      </c>
      <c r="V46" s="62">
        <v>50</v>
      </c>
      <c r="W46" s="62">
        <v>300</v>
      </c>
    </row>
    <row r="47" spans="1:23" x14ac:dyDescent="0.25">
      <c r="A47" s="75" t="s">
        <v>201</v>
      </c>
      <c r="B47" s="62" t="s">
        <v>2</v>
      </c>
      <c r="C47" s="62" t="s">
        <v>2</v>
      </c>
      <c r="D47" s="62" t="s">
        <v>2</v>
      </c>
      <c r="E47" s="62" t="s">
        <v>2</v>
      </c>
      <c r="F47" s="62" t="s">
        <v>2</v>
      </c>
      <c r="G47" s="62" t="s">
        <v>2</v>
      </c>
      <c r="H47" s="62" t="s">
        <v>2</v>
      </c>
      <c r="I47" s="62" t="s">
        <v>2</v>
      </c>
      <c r="J47" s="62" t="s">
        <v>2</v>
      </c>
      <c r="K47" s="62" t="s">
        <v>2</v>
      </c>
      <c r="L47" s="62" t="s">
        <v>2</v>
      </c>
      <c r="M47" s="62" t="s">
        <v>2</v>
      </c>
      <c r="N47" s="62" t="s">
        <v>2</v>
      </c>
      <c r="O47" s="62" t="s">
        <v>2</v>
      </c>
      <c r="P47" s="62" t="s">
        <v>2</v>
      </c>
      <c r="Q47" s="62" t="s">
        <v>2</v>
      </c>
      <c r="R47" s="62" t="s">
        <v>2</v>
      </c>
      <c r="S47" s="62" t="s">
        <v>2</v>
      </c>
      <c r="T47" s="62" t="s">
        <v>2</v>
      </c>
      <c r="U47" s="62" t="s">
        <v>2</v>
      </c>
      <c r="V47" s="62" t="s">
        <v>2</v>
      </c>
      <c r="W47" s="62" t="s">
        <v>2</v>
      </c>
    </row>
    <row r="48" spans="1:23" x14ac:dyDescent="0.25">
      <c r="A48" s="75" t="s">
        <v>202</v>
      </c>
      <c r="B48" s="62" t="s">
        <v>2</v>
      </c>
      <c r="C48" s="62" t="s">
        <v>2</v>
      </c>
      <c r="D48" s="62" t="s">
        <v>2</v>
      </c>
      <c r="E48" s="62" t="s">
        <v>2</v>
      </c>
      <c r="F48" s="62" t="s">
        <v>2</v>
      </c>
      <c r="G48" s="62" t="s">
        <v>2</v>
      </c>
      <c r="H48" s="62" t="s">
        <v>2</v>
      </c>
      <c r="I48" s="62" t="s">
        <v>2</v>
      </c>
      <c r="J48" s="62" t="s">
        <v>2</v>
      </c>
      <c r="K48" s="62" t="s">
        <v>2</v>
      </c>
      <c r="L48" s="62" t="s">
        <v>2</v>
      </c>
      <c r="M48" s="62" t="s">
        <v>2</v>
      </c>
      <c r="N48" s="62" t="s">
        <v>2</v>
      </c>
      <c r="O48" s="62" t="s">
        <v>2</v>
      </c>
      <c r="P48" s="62" t="s">
        <v>2</v>
      </c>
      <c r="Q48" s="62" t="s">
        <v>2</v>
      </c>
      <c r="R48" s="62" t="s">
        <v>2</v>
      </c>
      <c r="S48" s="62" t="s">
        <v>2</v>
      </c>
      <c r="T48" s="62" t="s">
        <v>2</v>
      </c>
      <c r="U48" s="62" t="s">
        <v>2</v>
      </c>
      <c r="V48" s="62" t="s">
        <v>2</v>
      </c>
      <c r="W48" s="62" t="s">
        <v>2</v>
      </c>
    </row>
    <row r="49" spans="1:23" x14ac:dyDescent="0.25">
      <c r="A49" s="75" t="s">
        <v>203</v>
      </c>
      <c r="B49" s="62" t="s">
        <v>2</v>
      </c>
      <c r="C49" s="62" t="s">
        <v>2</v>
      </c>
      <c r="D49" s="62" t="s">
        <v>2</v>
      </c>
      <c r="E49" s="62" t="s">
        <v>2</v>
      </c>
      <c r="F49" s="62" t="s">
        <v>2</v>
      </c>
      <c r="G49" s="62" t="s">
        <v>2</v>
      </c>
      <c r="H49" s="62" t="s">
        <v>2</v>
      </c>
      <c r="I49" s="62" t="s">
        <v>2</v>
      </c>
      <c r="J49" s="62" t="s">
        <v>2</v>
      </c>
      <c r="K49" s="62" t="s">
        <v>2</v>
      </c>
      <c r="L49" s="62" t="s">
        <v>2</v>
      </c>
      <c r="M49" s="62" t="s">
        <v>2</v>
      </c>
      <c r="N49" s="62" t="s">
        <v>2</v>
      </c>
      <c r="O49" s="62" t="s">
        <v>2</v>
      </c>
      <c r="P49" s="62" t="s">
        <v>2</v>
      </c>
      <c r="Q49" s="62" t="s">
        <v>2</v>
      </c>
      <c r="R49" s="62" t="s">
        <v>2</v>
      </c>
      <c r="S49" s="62" t="s">
        <v>2</v>
      </c>
      <c r="T49" s="62" t="s">
        <v>2</v>
      </c>
      <c r="U49" s="62" t="s">
        <v>2</v>
      </c>
      <c r="V49" s="62" t="s">
        <v>2</v>
      </c>
      <c r="W49" s="62" t="s">
        <v>2</v>
      </c>
    </row>
    <row r="50" spans="1:23" x14ac:dyDescent="0.25">
      <c r="A50" s="75" t="s">
        <v>204</v>
      </c>
      <c r="B50" s="62">
        <v>4</v>
      </c>
      <c r="C50" s="62">
        <v>6</v>
      </c>
      <c r="D50" s="62">
        <v>1</v>
      </c>
      <c r="E50" s="62">
        <v>2.5</v>
      </c>
      <c r="F50" s="62">
        <v>0.3</v>
      </c>
      <c r="G50" s="62">
        <v>1</v>
      </c>
      <c r="H50" s="62">
        <v>4</v>
      </c>
      <c r="I50" s="62">
        <v>6</v>
      </c>
      <c r="J50" s="62">
        <v>0.35</v>
      </c>
      <c r="K50" s="62">
        <v>1</v>
      </c>
      <c r="L50" s="62">
        <v>5000</v>
      </c>
      <c r="M50" s="62">
        <v>8000</v>
      </c>
      <c r="N50" s="62">
        <v>60</v>
      </c>
      <c r="O50" s="62">
        <v>300</v>
      </c>
      <c r="P50" s="62">
        <v>50</v>
      </c>
      <c r="Q50" s="62">
        <v>250</v>
      </c>
      <c r="R50" s="62">
        <v>20</v>
      </c>
      <c r="S50" s="62">
        <v>200</v>
      </c>
      <c r="T50" s="62">
        <v>6</v>
      </c>
      <c r="U50" s="62">
        <v>25</v>
      </c>
      <c r="V50" s="62">
        <v>25</v>
      </c>
      <c r="W50" s="62">
        <v>75</v>
      </c>
    </row>
    <row r="51" spans="1:23" x14ac:dyDescent="0.25">
      <c r="A51" s="75" t="s">
        <v>205</v>
      </c>
      <c r="B51" s="62">
        <v>3.5</v>
      </c>
      <c r="C51" s="62">
        <v>5</v>
      </c>
      <c r="D51" s="62">
        <v>1.3</v>
      </c>
      <c r="E51" s="62">
        <v>2.8</v>
      </c>
      <c r="F51" s="62">
        <v>0.3</v>
      </c>
      <c r="G51" s="62">
        <v>1</v>
      </c>
      <c r="H51" s="62">
        <v>3.5</v>
      </c>
      <c r="I51" s="62">
        <v>5</v>
      </c>
      <c r="J51" s="62">
        <v>0.22</v>
      </c>
      <c r="K51" s="62">
        <v>0.7</v>
      </c>
      <c r="L51" s="62">
        <v>5000</v>
      </c>
      <c r="M51" s="62">
        <v>8000</v>
      </c>
      <c r="N51" s="62">
        <v>60</v>
      </c>
      <c r="O51" s="62">
        <v>300</v>
      </c>
      <c r="P51" s="62">
        <v>50</v>
      </c>
      <c r="Q51" s="62">
        <v>250</v>
      </c>
      <c r="R51" s="62">
        <v>20</v>
      </c>
      <c r="S51" s="62">
        <v>200</v>
      </c>
      <c r="T51" s="62">
        <v>5</v>
      </c>
      <c r="U51" s="62">
        <v>25</v>
      </c>
      <c r="V51" s="62">
        <v>25</v>
      </c>
      <c r="W51" s="62">
        <v>75</v>
      </c>
    </row>
    <row r="52" spans="1:23" x14ac:dyDescent="0.25">
      <c r="A52" s="75" t="s">
        <v>206</v>
      </c>
      <c r="B52" s="62" t="s">
        <v>2</v>
      </c>
      <c r="C52" s="62" t="s">
        <v>2</v>
      </c>
      <c r="D52" s="62" t="s">
        <v>2</v>
      </c>
      <c r="E52" s="62" t="s">
        <v>2</v>
      </c>
      <c r="F52" s="62" t="s">
        <v>2</v>
      </c>
      <c r="G52" s="62" t="s">
        <v>2</v>
      </c>
      <c r="H52" s="62" t="s">
        <v>2</v>
      </c>
      <c r="I52" s="62" t="s">
        <v>2</v>
      </c>
      <c r="J52" s="62" t="s">
        <v>2</v>
      </c>
      <c r="K52" s="62" t="s">
        <v>2</v>
      </c>
      <c r="L52" s="62" t="s">
        <v>2</v>
      </c>
      <c r="M52" s="62" t="s">
        <v>2</v>
      </c>
      <c r="N52" s="62" t="s">
        <v>2</v>
      </c>
      <c r="O52" s="62" t="s">
        <v>2</v>
      </c>
      <c r="P52" s="62" t="s">
        <v>2</v>
      </c>
      <c r="Q52" s="62" t="s">
        <v>2</v>
      </c>
      <c r="R52" s="62" t="s">
        <v>2</v>
      </c>
      <c r="S52" s="62" t="s">
        <v>2</v>
      </c>
      <c r="T52" s="62" t="s">
        <v>2</v>
      </c>
      <c r="U52" s="62" t="s">
        <v>2</v>
      </c>
      <c r="V52" s="62" t="s">
        <v>2</v>
      </c>
      <c r="W52" s="62" t="s">
        <v>2</v>
      </c>
    </row>
    <row r="53" spans="1:23" x14ac:dyDescent="0.25">
      <c r="A53" s="77" t="s">
        <v>207</v>
      </c>
      <c r="B53" s="62">
        <v>2.4</v>
      </c>
      <c r="C53" s="62">
        <v>3</v>
      </c>
      <c r="D53" s="62">
        <v>1.5</v>
      </c>
      <c r="E53" s="62">
        <v>5</v>
      </c>
      <c r="F53" s="62">
        <v>0.25</v>
      </c>
      <c r="G53" s="62">
        <v>1</v>
      </c>
      <c r="H53" s="62">
        <v>1.6</v>
      </c>
      <c r="I53" s="62">
        <v>2.5</v>
      </c>
      <c r="J53" s="62">
        <v>0.15</v>
      </c>
      <c r="K53" s="62">
        <v>0.5</v>
      </c>
      <c r="L53" s="62">
        <v>0</v>
      </c>
      <c r="M53" s="62">
        <v>0</v>
      </c>
      <c r="N53" s="62">
        <v>60</v>
      </c>
      <c r="O53" s="62">
        <v>200</v>
      </c>
      <c r="P53" s="62">
        <v>20</v>
      </c>
      <c r="Q53" s="62">
        <v>200</v>
      </c>
      <c r="R53" s="62">
        <v>20</v>
      </c>
      <c r="S53" s="62">
        <v>200</v>
      </c>
      <c r="T53" s="62">
        <v>5</v>
      </c>
      <c r="U53" s="62">
        <v>100</v>
      </c>
      <c r="V53" s="62">
        <v>30</v>
      </c>
      <c r="W53" s="62">
        <v>100</v>
      </c>
    </row>
    <row r="54" spans="1:23" x14ac:dyDescent="0.25">
      <c r="A54" s="75" t="s">
        <v>208</v>
      </c>
      <c r="B54" s="62">
        <v>2.2000000000000002</v>
      </c>
      <c r="C54" s="62">
        <v>2.7</v>
      </c>
      <c r="D54" s="62">
        <v>1.5</v>
      </c>
      <c r="E54" s="62">
        <v>4</v>
      </c>
      <c r="F54" s="62">
        <v>0.2</v>
      </c>
      <c r="G54" s="62">
        <v>0.5</v>
      </c>
      <c r="H54" s="62">
        <v>1</v>
      </c>
      <c r="I54" s="62">
        <v>2</v>
      </c>
      <c r="J54" s="62">
        <v>0.1</v>
      </c>
      <c r="K54" s="62">
        <v>0.3</v>
      </c>
      <c r="L54" s="62">
        <v>0</v>
      </c>
      <c r="M54" s="62">
        <v>0</v>
      </c>
      <c r="N54" s="62">
        <v>60</v>
      </c>
      <c r="O54" s="62">
        <v>200</v>
      </c>
      <c r="P54" s="62">
        <v>20</v>
      </c>
      <c r="Q54" s="62">
        <v>200</v>
      </c>
      <c r="R54" s="62">
        <v>25</v>
      </c>
      <c r="S54" s="62">
        <v>75</v>
      </c>
      <c r="T54" s="62">
        <v>5</v>
      </c>
      <c r="U54" s="62">
        <v>35</v>
      </c>
      <c r="V54" s="62">
        <v>20</v>
      </c>
      <c r="W54" s="62">
        <v>100</v>
      </c>
    </row>
    <row r="55" spans="1:23" x14ac:dyDescent="0.25">
      <c r="A55" s="77" t="s">
        <v>209</v>
      </c>
      <c r="B55" s="62">
        <v>2.2000000000000002</v>
      </c>
      <c r="C55" s="62">
        <v>2.7</v>
      </c>
      <c r="D55" s="62">
        <v>1.5</v>
      </c>
      <c r="E55" s="62">
        <v>4</v>
      </c>
      <c r="F55" s="62">
        <v>0.2</v>
      </c>
      <c r="G55" s="62">
        <v>0.5</v>
      </c>
      <c r="H55" s="62">
        <v>1</v>
      </c>
      <c r="I55" s="62">
        <v>2</v>
      </c>
      <c r="J55" s="62">
        <v>0.1</v>
      </c>
      <c r="K55" s="62">
        <v>0.3</v>
      </c>
      <c r="L55" s="62">
        <v>0</v>
      </c>
      <c r="M55" s="62">
        <v>0</v>
      </c>
      <c r="N55" s="62">
        <v>60</v>
      </c>
      <c r="O55" s="62">
        <v>100</v>
      </c>
      <c r="P55" s="62">
        <v>20</v>
      </c>
      <c r="Q55" s="62">
        <v>200</v>
      </c>
      <c r="R55" s="62">
        <v>20</v>
      </c>
      <c r="S55" s="62">
        <v>50</v>
      </c>
      <c r="T55" s="62">
        <v>5</v>
      </c>
      <c r="U55" s="62">
        <v>100</v>
      </c>
      <c r="V55" s="62">
        <v>20</v>
      </c>
      <c r="W55" s="62">
        <v>200</v>
      </c>
    </row>
    <row r="56" spans="1:23" x14ac:dyDescent="0.25">
      <c r="A56" s="75" t="s">
        <v>210</v>
      </c>
      <c r="B56" s="62">
        <v>4</v>
      </c>
      <c r="C56" s="62">
        <v>4.5</v>
      </c>
      <c r="D56" s="62">
        <v>0.5</v>
      </c>
      <c r="E56" s="62">
        <v>0.8</v>
      </c>
      <c r="F56" s="62">
        <v>0.2</v>
      </c>
      <c r="G56" s="62">
        <v>0.5</v>
      </c>
      <c r="H56" s="62">
        <v>3.5</v>
      </c>
      <c r="I56" s="62">
        <v>4.5</v>
      </c>
      <c r="J56" s="62">
        <v>0.6</v>
      </c>
      <c r="K56" s="62">
        <v>1</v>
      </c>
      <c r="L56" s="62">
        <v>6000</v>
      </c>
      <c r="M56" s="62">
        <v>9000</v>
      </c>
      <c r="N56" s="62">
        <v>50</v>
      </c>
      <c r="O56" s="62">
        <v>300</v>
      </c>
      <c r="P56" s="62">
        <v>31</v>
      </c>
      <c r="Q56" s="62">
        <v>300</v>
      </c>
      <c r="R56" s="62">
        <v>20</v>
      </c>
      <c r="S56" s="62">
        <v>150</v>
      </c>
      <c r="T56" s="62">
        <v>5</v>
      </c>
      <c r="U56" s="62">
        <v>25</v>
      </c>
      <c r="V56" s="62">
        <v>8</v>
      </c>
      <c r="W56" s="62">
        <v>25</v>
      </c>
    </row>
    <row r="57" spans="1:23" x14ac:dyDescent="0.25">
      <c r="A57" s="75" t="s">
        <v>211</v>
      </c>
      <c r="B57" s="62">
        <v>2.2000000000000002</v>
      </c>
      <c r="C57" s="62">
        <v>2.7</v>
      </c>
      <c r="D57" s="62">
        <v>0.7</v>
      </c>
      <c r="E57" s="62">
        <v>1.1000000000000001</v>
      </c>
      <c r="F57" s="62">
        <v>0.2</v>
      </c>
      <c r="G57" s="62">
        <v>0.5</v>
      </c>
      <c r="H57" s="62">
        <v>1.4</v>
      </c>
      <c r="I57" s="62">
        <v>2.5</v>
      </c>
      <c r="J57" s="62">
        <v>0.25</v>
      </c>
      <c r="K57" s="62">
        <v>0.4</v>
      </c>
      <c r="L57" s="62">
        <v>500</v>
      </c>
      <c r="M57" s="62">
        <v>1000</v>
      </c>
      <c r="N57" s="62">
        <v>50</v>
      </c>
      <c r="O57" s="62">
        <v>350</v>
      </c>
      <c r="P57" s="62">
        <v>31</v>
      </c>
      <c r="Q57" s="62">
        <v>300</v>
      </c>
      <c r="R57" s="62">
        <v>20</v>
      </c>
      <c r="S57" s="62">
        <v>150</v>
      </c>
      <c r="T57" s="62">
        <v>5</v>
      </c>
      <c r="U57" s="62">
        <v>25</v>
      </c>
      <c r="V57" s="62">
        <v>8</v>
      </c>
      <c r="W57" s="62">
        <v>25</v>
      </c>
    </row>
    <row r="58" spans="1:23" x14ac:dyDescent="0.25">
      <c r="A58" s="75" t="s">
        <v>212</v>
      </c>
      <c r="B58" s="62">
        <v>2.7</v>
      </c>
      <c r="C58" s="62">
        <v>3.5</v>
      </c>
      <c r="D58" s="62">
        <v>0.7</v>
      </c>
      <c r="E58" s="62">
        <v>1</v>
      </c>
      <c r="F58" s="62">
        <v>0.2</v>
      </c>
      <c r="G58" s="62">
        <v>0.5</v>
      </c>
      <c r="H58" s="62">
        <v>2.5</v>
      </c>
      <c r="I58" s="62">
        <v>3.5</v>
      </c>
      <c r="J58" s="62">
        <v>0.4</v>
      </c>
      <c r="K58" s="62">
        <v>0.7</v>
      </c>
      <c r="L58" s="62">
        <v>2000</v>
      </c>
      <c r="M58" s="62">
        <v>3000</v>
      </c>
      <c r="N58" s="62">
        <v>50</v>
      </c>
      <c r="O58" s="62">
        <v>300</v>
      </c>
      <c r="P58" s="62">
        <v>31</v>
      </c>
      <c r="Q58" s="62">
        <v>300</v>
      </c>
      <c r="R58" s="62">
        <v>20</v>
      </c>
      <c r="S58" s="62">
        <v>150</v>
      </c>
      <c r="T58" s="62">
        <v>5</v>
      </c>
      <c r="U58" s="62">
        <v>25</v>
      </c>
      <c r="V58" s="62">
        <v>8</v>
      </c>
      <c r="W58" s="62">
        <v>25</v>
      </c>
    </row>
    <row r="59" spans="1:23" x14ac:dyDescent="0.25">
      <c r="A59" s="75" t="s">
        <v>213</v>
      </c>
      <c r="B59" s="62">
        <v>3.5</v>
      </c>
      <c r="C59" s="62">
        <v>4.5</v>
      </c>
      <c r="D59" s="62">
        <v>0.5</v>
      </c>
      <c r="E59" s="62">
        <v>0.9</v>
      </c>
      <c r="F59" s="62">
        <v>0.2</v>
      </c>
      <c r="G59" s="62">
        <v>0.5</v>
      </c>
      <c r="H59" s="62">
        <v>2.8</v>
      </c>
      <c r="I59" s="62">
        <v>3.8</v>
      </c>
      <c r="J59" s="62">
        <v>0.5</v>
      </c>
      <c r="K59" s="62">
        <v>0.8</v>
      </c>
      <c r="L59" s="62">
        <v>6000</v>
      </c>
      <c r="M59" s="62">
        <v>9000</v>
      </c>
      <c r="N59" s="62">
        <v>50</v>
      </c>
      <c r="O59" s="62">
        <v>300</v>
      </c>
      <c r="P59" s="62">
        <v>30</v>
      </c>
      <c r="Q59" s="62">
        <v>300</v>
      </c>
      <c r="R59" s="62">
        <v>20</v>
      </c>
      <c r="S59" s="62">
        <v>150</v>
      </c>
      <c r="T59" s="62">
        <v>5</v>
      </c>
      <c r="U59" s="62">
        <v>25</v>
      </c>
      <c r="V59" s="62">
        <v>8</v>
      </c>
      <c r="W59" s="62">
        <v>25</v>
      </c>
    </row>
    <row r="60" spans="1:23" x14ac:dyDescent="0.25">
      <c r="A60" s="75" t="s">
        <v>214</v>
      </c>
      <c r="B60" s="62">
        <v>2.5</v>
      </c>
      <c r="C60" s="62">
        <v>3</v>
      </c>
      <c r="D60" s="62">
        <v>0.6</v>
      </c>
      <c r="E60" s="62">
        <v>1.1000000000000001</v>
      </c>
      <c r="F60" s="62">
        <v>0.2</v>
      </c>
      <c r="G60" s="62">
        <v>0.5</v>
      </c>
      <c r="H60" s="62">
        <v>1.5</v>
      </c>
      <c r="I60" s="62">
        <v>2.5</v>
      </c>
      <c r="J60" s="62">
        <v>0.3</v>
      </c>
      <c r="K60" s="62">
        <v>0.6</v>
      </c>
      <c r="L60" s="62">
        <v>1000</v>
      </c>
      <c r="M60" s="62">
        <v>1500</v>
      </c>
      <c r="N60" s="62">
        <v>50</v>
      </c>
      <c r="O60" s="62">
        <v>300</v>
      </c>
      <c r="P60" s="62">
        <v>31</v>
      </c>
      <c r="Q60" s="62">
        <v>300</v>
      </c>
      <c r="R60" s="62">
        <v>20</v>
      </c>
      <c r="S60" s="62">
        <v>150</v>
      </c>
      <c r="T60" s="62">
        <v>5</v>
      </c>
      <c r="U60" s="62">
        <v>25</v>
      </c>
      <c r="V60" s="62">
        <v>8</v>
      </c>
      <c r="W60" s="62">
        <v>25</v>
      </c>
    </row>
    <row r="61" spans="1:23" x14ac:dyDescent="0.25">
      <c r="A61" s="74" t="s">
        <v>215</v>
      </c>
      <c r="B61" s="62">
        <v>3</v>
      </c>
      <c r="C61" s="62">
        <v>3.5</v>
      </c>
      <c r="D61" s="62">
        <v>0.25</v>
      </c>
      <c r="E61" s="62">
        <v>0.5</v>
      </c>
      <c r="F61" s="62">
        <v>0.13</v>
      </c>
      <c r="G61" s="62">
        <v>0.3</v>
      </c>
      <c r="H61" s="62">
        <v>2</v>
      </c>
      <c r="I61" s="62">
        <v>2.5</v>
      </c>
      <c r="J61" s="62">
        <v>0.25</v>
      </c>
      <c r="K61" s="62">
        <v>0.45</v>
      </c>
      <c r="L61" s="62">
        <v>6000</v>
      </c>
      <c r="M61" s="62">
        <v>9000</v>
      </c>
      <c r="N61" s="62">
        <v>20</v>
      </c>
      <c r="O61" s="62">
        <v>200</v>
      </c>
      <c r="P61" s="62">
        <v>15</v>
      </c>
      <c r="Q61" s="62">
        <v>300</v>
      </c>
      <c r="R61" s="62">
        <v>15</v>
      </c>
      <c r="S61" s="62">
        <v>60</v>
      </c>
      <c r="T61" s="62">
        <v>3</v>
      </c>
      <c r="U61" s="62">
        <v>15</v>
      </c>
      <c r="V61" s="62">
        <v>4</v>
      </c>
      <c r="W61" s="62">
        <v>25</v>
      </c>
    </row>
    <row r="62" spans="1:23" x14ac:dyDescent="0.25">
      <c r="A62" s="74" t="s">
        <v>216</v>
      </c>
      <c r="B62" s="62">
        <v>2.7</v>
      </c>
      <c r="C62" s="62">
        <v>4</v>
      </c>
      <c r="D62" s="62">
        <v>0.21</v>
      </c>
      <c r="E62" s="62">
        <v>1</v>
      </c>
      <c r="F62" s="62">
        <v>0.2</v>
      </c>
      <c r="G62" s="62">
        <v>1</v>
      </c>
      <c r="H62" s="62">
        <v>1.7</v>
      </c>
      <c r="I62" s="62">
        <v>3</v>
      </c>
      <c r="J62" s="62">
        <v>0.25</v>
      </c>
      <c r="K62" s="62">
        <v>0.5</v>
      </c>
      <c r="L62" s="62">
        <v>1000</v>
      </c>
      <c r="M62" s="62">
        <v>1500</v>
      </c>
      <c r="N62" s="62">
        <v>20</v>
      </c>
      <c r="O62" s="62">
        <v>250</v>
      </c>
      <c r="P62" s="62">
        <v>20</v>
      </c>
      <c r="Q62" s="62">
        <v>200</v>
      </c>
      <c r="R62" s="62">
        <v>25</v>
      </c>
      <c r="S62" s="62">
        <v>100</v>
      </c>
      <c r="T62" s="62">
        <v>5</v>
      </c>
      <c r="U62" s="62">
        <v>20</v>
      </c>
      <c r="V62" s="62">
        <v>5</v>
      </c>
      <c r="W62" s="62">
        <v>25</v>
      </c>
    </row>
    <row r="63" spans="1:23" x14ac:dyDescent="0.25">
      <c r="A63" s="74" t="s">
        <v>217</v>
      </c>
      <c r="B63" s="62">
        <v>3.5</v>
      </c>
      <c r="C63" s="62">
        <v>5</v>
      </c>
      <c r="D63" s="62">
        <v>0.21</v>
      </c>
      <c r="E63" s="62">
        <v>1</v>
      </c>
      <c r="F63" s="62">
        <v>0.2</v>
      </c>
      <c r="G63" s="62">
        <v>1</v>
      </c>
      <c r="H63" s="62">
        <v>2.5</v>
      </c>
      <c r="I63" s="62">
        <v>4</v>
      </c>
      <c r="J63" s="62">
        <v>0.3</v>
      </c>
      <c r="K63" s="62">
        <v>0.5</v>
      </c>
      <c r="L63" s="62">
        <v>6000</v>
      </c>
      <c r="M63" s="62">
        <v>9000</v>
      </c>
      <c r="N63" s="62">
        <v>20</v>
      </c>
      <c r="O63" s="62">
        <v>250</v>
      </c>
      <c r="P63" s="62">
        <v>20</v>
      </c>
      <c r="Q63" s="62">
        <v>300</v>
      </c>
      <c r="R63" s="62">
        <v>20</v>
      </c>
      <c r="S63" s="62">
        <v>60</v>
      </c>
      <c r="T63" s="62">
        <v>5</v>
      </c>
      <c r="U63" s="62">
        <v>20</v>
      </c>
      <c r="V63" s="62">
        <v>5</v>
      </c>
      <c r="W63" s="62">
        <v>25</v>
      </c>
    </row>
    <row r="64" spans="1:23" x14ac:dyDescent="0.25">
      <c r="A64" s="75" t="s">
        <v>218</v>
      </c>
      <c r="B64" s="62" t="s">
        <v>2</v>
      </c>
      <c r="C64" s="62" t="s">
        <v>2</v>
      </c>
      <c r="D64" s="62" t="s">
        <v>2</v>
      </c>
      <c r="E64" s="62" t="s">
        <v>2</v>
      </c>
      <c r="F64" s="62" t="s">
        <v>2</v>
      </c>
      <c r="G64" s="62" t="s">
        <v>2</v>
      </c>
      <c r="H64" s="62" t="s">
        <v>2</v>
      </c>
      <c r="I64" s="62" t="s">
        <v>2</v>
      </c>
      <c r="J64" s="62" t="s">
        <v>2</v>
      </c>
      <c r="K64" s="62" t="s">
        <v>2</v>
      </c>
      <c r="L64" s="62" t="s">
        <v>2</v>
      </c>
      <c r="M64" s="62" t="s">
        <v>2</v>
      </c>
      <c r="N64" s="62" t="s">
        <v>2</v>
      </c>
      <c r="O64" s="62" t="s">
        <v>2</v>
      </c>
      <c r="P64" s="62" t="s">
        <v>2</v>
      </c>
      <c r="Q64" s="62" t="s">
        <v>2</v>
      </c>
      <c r="R64" s="62" t="s">
        <v>2</v>
      </c>
      <c r="S64" s="62" t="s">
        <v>2</v>
      </c>
      <c r="T64" s="62" t="s">
        <v>2</v>
      </c>
      <c r="U64" s="62" t="s">
        <v>2</v>
      </c>
      <c r="V64" s="62" t="s">
        <v>2</v>
      </c>
      <c r="W64" s="62" t="s">
        <v>2</v>
      </c>
    </row>
    <row r="65" spans="1:23" x14ac:dyDescent="0.25">
      <c r="A65" s="75" t="s">
        <v>219</v>
      </c>
      <c r="B65" s="62">
        <v>3</v>
      </c>
      <c r="C65" s="62">
        <v>3.4</v>
      </c>
      <c r="D65" s="62">
        <v>1.1000000000000001</v>
      </c>
      <c r="E65" s="62">
        <v>4</v>
      </c>
      <c r="F65" s="62">
        <v>0.17</v>
      </c>
      <c r="G65" s="62">
        <v>0.44</v>
      </c>
      <c r="H65" s="62">
        <v>0.9</v>
      </c>
      <c r="I65" s="62">
        <v>1.1000000000000001</v>
      </c>
      <c r="J65" s="62">
        <v>0.15</v>
      </c>
      <c r="K65" s="62">
        <v>0.25</v>
      </c>
      <c r="L65" s="62">
        <v>0</v>
      </c>
      <c r="M65" s="62">
        <v>0</v>
      </c>
      <c r="N65" s="62">
        <v>60</v>
      </c>
      <c r="O65" s="62">
        <v>150</v>
      </c>
      <c r="P65" s="62">
        <v>25</v>
      </c>
      <c r="Q65" s="62">
        <v>200</v>
      </c>
      <c r="R65" s="62">
        <v>5</v>
      </c>
      <c r="S65" s="62">
        <v>30</v>
      </c>
      <c r="T65" s="62">
        <v>5</v>
      </c>
      <c r="U65" s="62">
        <v>30</v>
      </c>
      <c r="V65" s="62">
        <v>30</v>
      </c>
      <c r="W65" s="62">
        <v>100</v>
      </c>
    </row>
    <row r="66" spans="1:23" x14ac:dyDescent="0.25">
      <c r="A66" s="75" t="s">
        <v>220</v>
      </c>
      <c r="B66" s="62">
        <v>1</v>
      </c>
      <c r="C66" s="62">
        <v>1.5</v>
      </c>
      <c r="D66" s="62">
        <v>2</v>
      </c>
      <c r="E66" s="62">
        <v>5</v>
      </c>
      <c r="F66" s="62">
        <v>0.2</v>
      </c>
      <c r="G66" s="62">
        <v>0.5</v>
      </c>
      <c r="H66" s="62">
        <v>0.4</v>
      </c>
      <c r="I66" s="62">
        <v>0.9</v>
      </c>
      <c r="J66" s="62">
        <v>0.08</v>
      </c>
      <c r="K66" s="62">
        <v>0.25</v>
      </c>
      <c r="L66" s="62">
        <v>0</v>
      </c>
      <c r="M66" s="62">
        <v>0</v>
      </c>
      <c r="N66" s="62">
        <v>50</v>
      </c>
      <c r="O66" s="62">
        <v>250</v>
      </c>
      <c r="P66" s="62">
        <v>50</v>
      </c>
      <c r="Q66" s="62">
        <v>250</v>
      </c>
      <c r="R66" s="62">
        <v>20</v>
      </c>
      <c r="S66" s="62">
        <v>200</v>
      </c>
      <c r="T66" s="62">
        <v>7</v>
      </c>
      <c r="U66" s="62">
        <v>150</v>
      </c>
      <c r="V66" s="62">
        <v>25</v>
      </c>
      <c r="W66" s="62">
        <v>150</v>
      </c>
    </row>
    <row r="67" spans="1:23" x14ac:dyDescent="0.25">
      <c r="A67" s="75" t="s">
        <v>221</v>
      </c>
      <c r="B67" s="62" t="s">
        <v>2</v>
      </c>
      <c r="C67" s="62" t="s">
        <v>2</v>
      </c>
      <c r="D67" s="62" t="s">
        <v>2</v>
      </c>
      <c r="E67" s="62" t="s">
        <v>2</v>
      </c>
      <c r="F67" s="62" t="s">
        <v>2</v>
      </c>
      <c r="G67" s="62" t="s">
        <v>2</v>
      </c>
      <c r="H67" s="62" t="s">
        <v>2</v>
      </c>
      <c r="I67" s="62" t="s">
        <v>2</v>
      </c>
      <c r="J67" s="62" t="s">
        <v>2</v>
      </c>
      <c r="K67" s="62" t="s">
        <v>2</v>
      </c>
      <c r="L67" s="62" t="s">
        <v>2</v>
      </c>
      <c r="M67" s="62" t="s">
        <v>2</v>
      </c>
      <c r="N67" s="62" t="s">
        <v>2</v>
      </c>
      <c r="O67" s="62" t="s">
        <v>2</v>
      </c>
      <c r="P67" s="62" t="s">
        <v>2</v>
      </c>
      <c r="Q67" s="62" t="s">
        <v>2</v>
      </c>
      <c r="R67" s="62" t="s">
        <v>2</v>
      </c>
      <c r="S67" s="62" t="s">
        <v>2</v>
      </c>
      <c r="T67" s="62" t="s">
        <v>2</v>
      </c>
      <c r="U67" s="62" t="s">
        <v>2</v>
      </c>
      <c r="V67" s="62" t="s">
        <v>2</v>
      </c>
      <c r="W67" s="62" t="s">
        <v>2</v>
      </c>
    </row>
    <row r="68" spans="1:23" x14ac:dyDescent="0.25">
      <c r="A68" s="75" t="s">
        <v>222</v>
      </c>
      <c r="B68" s="62">
        <v>1.59</v>
      </c>
      <c r="C68" s="62">
        <v>2.2400000000000002</v>
      </c>
      <c r="D68" s="62">
        <v>0.28000000000000003</v>
      </c>
      <c r="E68" s="62">
        <v>0.33</v>
      </c>
      <c r="F68" s="62">
        <v>0.18</v>
      </c>
      <c r="G68" s="62">
        <v>0.22</v>
      </c>
      <c r="H68" s="62">
        <v>2.99</v>
      </c>
      <c r="I68" s="62">
        <v>3.5</v>
      </c>
      <c r="J68" s="62">
        <v>0.25</v>
      </c>
      <c r="K68" s="62">
        <v>0.28999999999999998</v>
      </c>
      <c r="L68" s="62">
        <v>1000</v>
      </c>
      <c r="M68" s="62">
        <v>2000</v>
      </c>
      <c r="N68" s="62">
        <v>30</v>
      </c>
      <c r="O68" s="62">
        <v>60</v>
      </c>
      <c r="P68" s="62">
        <v>60</v>
      </c>
      <c r="Q68" s="62">
        <v>90</v>
      </c>
      <c r="R68" s="62">
        <v>17</v>
      </c>
      <c r="S68" s="62">
        <v>37</v>
      </c>
      <c r="T68" s="62">
        <v>5</v>
      </c>
      <c r="U68" s="62">
        <v>7</v>
      </c>
      <c r="V68" s="62">
        <v>3</v>
      </c>
      <c r="W68" s="62">
        <v>9</v>
      </c>
    </row>
    <row r="69" spans="1:23" x14ac:dyDescent="0.25">
      <c r="A69" s="75" t="s">
        <v>223</v>
      </c>
      <c r="B69" s="62">
        <v>4.5</v>
      </c>
      <c r="C69" s="62">
        <v>5.5</v>
      </c>
      <c r="D69" s="62">
        <v>2.2999999999999998</v>
      </c>
      <c r="E69" s="62">
        <v>3</v>
      </c>
      <c r="F69" s="62">
        <v>0.35</v>
      </c>
      <c r="G69" s="62">
        <v>0.8</v>
      </c>
      <c r="H69" s="62">
        <v>4</v>
      </c>
      <c r="I69" s="62">
        <v>5</v>
      </c>
      <c r="J69" s="62">
        <v>0.3</v>
      </c>
      <c r="K69" s="62">
        <v>0.8</v>
      </c>
      <c r="L69" s="62">
        <v>12000</v>
      </c>
      <c r="M69" s="62">
        <v>15000</v>
      </c>
      <c r="N69" s="62">
        <v>50</v>
      </c>
      <c r="O69" s="62">
        <v>300</v>
      </c>
      <c r="P69" s="62">
        <v>50</v>
      </c>
      <c r="Q69" s="62">
        <v>250</v>
      </c>
      <c r="R69" s="62">
        <v>20</v>
      </c>
      <c r="S69" s="62">
        <v>200</v>
      </c>
      <c r="T69" s="62">
        <v>7</v>
      </c>
      <c r="U69" s="62">
        <v>30</v>
      </c>
      <c r="V69" s="62">
        <v>25</v>
      </c>
      <c r="W69" s="62">
        <v>60</v>
      </c>
    </row>
    <row r="70" spans="1:23" x14ac:dyDescent="0.25">
      <c r="A70" s="75" t="s">
        <v>224</v>
      </c>
      <c r="B70" s="62">
        <v>4</v>
      </c>
      <c r="C70" s="62">
        <v>5</v>
      </c>
      <c r="D70" s="62">
        <v>2.5</v>
      </c>
      <c r="E70" s="62">
        <v>3.2</v>
      </c>
      <c r="F70" s="62">
        <v>0.35</v>
      </c>
      <c r="G70" s="62">
        <v>0.8</v>
      </c>
      <c r="H70" s="62">
        <v>3.5</v>
      </c>
      <c r="I70" s="62">
        <v>4.5</v>
      </c>
      <c r="J70" s="62">
        <v>0.25</v>
      </c>
      <c r="K70" s="62">
        <v>0.6</v>
      </c>
      <c r="L70" s="62">
        <v>8000</v>
      </c>
      <c r="M70" s="62">
        <v>10000</v>
      </c>
      <c r="N70" s="62">
        <v>50</v>
      </c>
      <c r="O70" s="62">
        <v>300</v>
      </c>
      <c r="P70" s="62">
        <v>50</v>
      </c>
      <c r="Q70" s="62">
        <v>250</v>
      </c>
      <c r="R70" s="62">
        <v>20</v>
      </c>
      <c r="S70" s="62">
        <v>200</v>
      </c>
      <c r="T70" s="62">
        <v>6</v>
      </c>
      <c r="U70" s="62">
        <v>30</v>
      </c>
      <c r="V70" s="62">
        <v>24</v>
      </c>
      <c r="W70" s="62">
        <v>60</v>
      </c>
    </row>
    <row r="71" spans="1:23" x14ac:dyDescent="0.25">
      <c r="A71" s="75" t="s">
        <v>225</v>
      </c>
      <c r="B71" s="62">
        <v>4.5</v>
      </c>
      <c r="C71" s="62">
        <v>5.5</v>
      </c>
      <c r="D71" s="62">
        <v>2.2999999999999998</v>
      </c>
      <c r="E71" s="62">
        <v>3</v>
      </c>
      <c r="F71" s="62">
        <v>0.15</v>
      </c>
      <c r="G71" s="62">
        <v>0.3</v>
      </c>
      <c r="H71" s="62">
        <v>4</v>
      </c>
      <c r="I71" s="62">
        <v>5</v>
      </c>
      <c r="J71" s="62">
        <v>0.3</v>
      </c>
      <c r="K71" s="62">
        <v>0.8</v>
      </c>
      <c r="L71" s="62">
        <v>6000</v>
      </c>
      <c r="M71" s="62">
        <v>12000</v>
      </c>
      <c r="N71" s="62">
        <v>25</v>
      </c>
      <c r="O71" s="62">
        <v>50</v>
      </c>
      <c r="P71" s="62">
        <v>25</v>
      </c>
      <c r="Q71" s="62">
        <v>50</v>
      </c>
      <c r="R71" s="62">
        <v>10</v>
      </c>
      <c r="S71" s="62">
        <v>20</v>
      </c>
      <c r="T71" s="62">
        <v>3</v>
      </c>
      <c r="U71" s="62">
        <v>6</v>
      </c>
      <c r="V71" s="62">
        <v>15</v>
      </c>
      <c r="W71" s="62">
        <v>25</v>
      </c>
    </row>
    <row r="72" spans="1:23" x14ac:dyDescent="0.25">
      <c r="A72" s="75" t="s">
        <v>226</v>
      </c>
      <c r="B72" s="62">
        <v>4</v>
      </c>
      <c r="C72" s="62">
        <v>5</v>
      </c>
      <c r="D72" s="62">
        <v>2.2999999999999998</v>
      </c>
      <c r="E72" s="62">
        <v>3.2</v>
      </c>
      <c r="F72" s="62">
        <v>0.35</v>
      </c>
      <c r="G72" s="62">
        <v>0.8</v>
      </c>
      <c r="H72" s="62">
        <v>3.5</v>
      </c>
      <c r="I72" s="62">
        <v>5</v>
      </c>
      <c r="J72" s="62">
        <v>0.25</v>
      </c>
      <c r="K72" s="62">
        <v>0.8</v>
      </c>
      <c r="L72" s="62">
        <v>8000</v>
      </c>
      <c r="M72" s="62">
        <v>10000</v>
      </c>
      <c r="N72" s="62">
        <v>50</v>
      </c>
      <c r="O72" s="62">
        <v>300</v>
      </c>
      <c r="P72" s="62">
        <v>50</v>
      </c>
      <c r="Q72" s="62">
        <v>250</v>
      </c>
      <c r="R72" s="62">
        <v>20</v>
      </c>
      <c r="S72" s="62">
        <v>200</v>
      </c>
      <c r="T72" s="62">
        <v>7</v>
      </c>
      <c r="U72" s="62">
        <v>30</v>
      </c>
      <c r="V72" s="62">
        <v>25</v>
      </c>
      <c r="W72" s="62">
        <v>60</v>
      </c>
    </row>
    <row r="73" spans="1:23" x14ac:dyDescent="0.25">
      <c r="A73" s="75" t="s">
        <v>227</v>
      </c>
      <c r="B73" s="62" t="s">
        <v>2</v>
      </c>
      <c r="C73" s="62" t="s">
        <v>2</v>
      </c>
      <c r="D73" s="62" t="s">
        <v>2</v>
      </c>
      <c r="E73" s="62" t="s">
        <v>2</v>
      </c>
      <c r="F73" s="62" t="s">
        <v>2</v>
      </c>
      <c r="G73" s="62" t="s">
        <v>2</v>
      </c>
      <c r="H73" s="62" t="s">
        <v>2</v>
      </c>
      <c r="I73" s="62" t="s">
        <v>2</v>
      </c>
      <c r="J73" s="62" t="s">
        <v>2</v>
      </c>
      <c r="K73" s="62" t="s">
        <v>2</v>
      </c>
      <c r="L73" s="62" t="s">
        <v>2</v>
      </c>
      <c r="M73" s="62" t="s">
        <v>2</v>
      </c>
      <c r="N73" s="62" t="s">
        <v>2</v>
      </c>
      <c r="O73" s="62" t="s">
        <v>2</v>
      </c>
      <c r="P73" s="62" t="s">
        <v>2</v>
      </c>
      <c r="Q73" s="62" t="s">
        <v>2</v>
      </c>
      <c r="R73" s="62" t="s">
        <v>2</v>
      </c>
      <c r="S73" s="62" t="s">
        <v>2</v>
      </c>
      <c r="T73" s="62" t="s">
        <v>2</v>
      </c>
      <c r="U73" s="62" t="s">
        <v>2</v>
      </c>
      <c r="V73" s="62" t="s">
        <v>2</v>
      </c>
      <c r="W73" s="62" t="s">
        <v>2</v>
      </c>
    </row>
    <row r="74" spans="1:23" x14ac:dyDescent="0.25">
      <c r="A74" s="75" t="s">
        <v>228</v>
      </c>
      <c r="B74" s="62" t="s">
        <v>2</v>
      </c>
      <c r="C74" s="62" t="s">
        <v>2</v>
      </c>
      <c r="D74" s="62" t="s">
        <v>2</v>
      </c>
      <c r="E74" s="62" t="s">
        <v>2</v>
      </c>
      <c r="F74" s="62" t="s">
        <v>2</v>
      </c>
      <c r="G74" s="62" t="s">
        <v>2</v>
      </c>
      <c r="H74" s="62" t="s">
        <v>2</v>
      </c>
      <c r="I74" s="62" t="s">
        <v>2</v>
      </c>
      <c r="J74" s="62" t="s">
        <v>2</v>
      </c>
      <c r="K74" s="62" t="s">
        <v>2</v>
      </c>
      <c r="L74" s="62" t="s">
        <v>2</v>
      </c>
      <c r="M74" s="62" t="s">
        <v>2</v>
      </c>
      <c r="N74" s="62" t="s">
        <v>2</v>
      </c>
      <c r="O74" s="62" t="s">
        <v>2</v>
      </c>
      <c r="P74" s="62" t="s">
        <v>2</v>
      </c>
      <c r="Q74" s="62" t="s">
        <v>2</v>
      </c>
      <c r="R74" s="62" t="s">
        <v>2</v>
      </c>
      <c r="S74" s="62" t="s">
        <v>2</v>
      </c>
      <c r="T74" s="62" t="s">
        <v>2</v>
      </c>
      <c r="U74" s="62" t="s">
        <v>2</v>
      </c>
      <c r="V74" s="62" t="s">
        <v>2</v>
      </c>
      <c r="W74" s="62" t="s">
        <v>2</v>
      </c>
    </row>
    <row r="75" spans="1:23" x14ac:dyDescent="0.25">
      <c r="A75" s="75" t="s">
        <v>229</v>
      </c>
      <c r="B75" s="62" t="s">
        <v>2</v>
      </c>
      <c r="C75" s="62" t="s">
        <v>2</v>
      </c>
      <c r="D75" s="62" t="s">
        <v>2</v>
      </c>
      <c r="E75" s="62" t="s">
        <v>2</v>
      </c>
      <c r="F75" s="62" t="s">
        <v>2</v>
      </c>
      <c r="G75" s="62" t="s">
        <v>2</v>
      </c>
      <c r="H75" s="62" t="s">
        <v>2</v>
      </c>
      <c r="I75" s="62" t="s">
        <v>2</v>
      </c>
      <c r="J75" s="62" t="s">
        <v>2</v>
      </c>
      <c r="K75" s="62" t="s">
        <v>2</v>
      </c>
      <c r="L75" s="62" t="s">
        <v>2</v>
      </c>
      <c r="M75" s="62" t="s">
        <v>2</v>
      </c>
      <c r="N75" s="62" t="s">
        <v>2</v>
      </c>
      <c r="O75" s="62" t="s">
        <v>2</v>
      </c>
      <c r="P75" s="62" t="s">
        <v>2</v>
      </c>
      <c r="Q75" s="62" t="s">
        <v>2</v>
      </c>
      <c r="R75" s="62" t="s">
        <v>2</v>
      </c>
      <c r="S75" s="62" t="s">
        <v>2</v>
      </c>
      <c r="T75" s="62" t="s">
        <v>2</v>
      </c>
      <c r="U75" s="62" t="s">
        <v>2</v>
      </c>
      <c r="V75" s="62" t="s">
        <v>2</v>
      </c>
      <c r="W75" s="62" t="s">
        <v>2</v>
      </c>
    </row>
    <row r="76" spans="1:23" x14ac:dyDescent="0.25">
      <c r="A76" s="75" t="s">
        <v>230</v>
      </c>
      <c r="B76" s="62">
        <v>2.2000000000000002</v>
      </c>
      <c r="C76" s="62">
        <v>3.5</v>
      </c>
      <c r="D76" s="62">
        <v>1.1000000000000001</v>
      </c>
      <c r="E76" s="62">
        <v>4</v>
      </c>
      <c r="F76" s="62">
        <v>0.3</v>
      </c>
      <c r="G76" s="62">
        <v>0.5</v>
      </c>
      <c r="H76" s="62">
        <v>0.7</v>
      </c>
      <c r="I76" s="62">
        <v>1.1000000000000001</v>
      </c>
      <c r="J76" s="62">
        <v>0.12</v>
      </c>
      <c r="K76" s="62">
        <v>0.5</v>
      </c>
      <c r="L76" s="62">
        <v>0</v>
      </c>
      <c r="M76" s="62">
        <v>0</v>
      </c>
      <c r="N76" s="62">
        <v>60</v>
      </c>
      <c r="O76" s="62">
        <v>250</v>
      </c>
      <c r="P76" s="62">
        <v>25</v>
      </c>
      <c r="Q76" s="62">
        <v>200</v>
      </c>
      <c r="R76" s="62">
        <v>25</v>
      </c>
      <c r="S76" s="62">
        <v>150</v>
      </c>
      <c r="T76" s="62">
        <v>6</v>
      </c>
      <c r="U76" s="62">
        <v>35</v>
      </c>
      <c r="V76" s="62">
        <v>25</v>
      </c>
      <c r="W76" s="62">
        <v>100</v>
      </c>
    </row>
    <row r="77" spans="1:23" x14ac:dyDescent="0.25">
      <c r="A77" s="75" t="s">
        <v>231</v>
      </c>
      <c r="B77" s="62">
        <v>3</v>
      </c>
      <c r="C77" s="62">
        <v>3.4</v>
      </c>
      <c r="D77" s="62">
        <v>1.1000000000000001</v>
      </c>
      <c r="E77" s="62">
        <v>4</v>
      </c>
      <c r="F77" s="62">
        <v>0.17</v>
      </c>
      <c r="G77" s="62">
        <v>0.44</v>
      </c>
      <c r="H77" s="62">
        <v>0.9</v>
      </c>
      <c r="I77" s="62">
        <v>1.1000000000000001</v>
      </c>
      <c r="J77" s="62">
        <v>0.15</v>
      </c>
      <c r="K77" s="62">
        <v>0.25</v>
      </c>
      <c r="L77" s="62">
        <v>0</v>
      </c>
      <c r="M77" s="62">
        <v>0</v>
      </c>
      <c r="N77" s="62">
        <v>60</v>
      </c>
      <c r="O77" s="62">
        <v>150</v>
      </c>
      <c r="P77" s="62">
        <v>25</v>
      </c>
      <c r="Q77" s="62">
        <v>200</v>
      </c>
      <c r="R77" s="62">
        <v>5</v>
      </c>
      <c r="S77" s="62">
        <v>30</v>
      </c>
      <c r="T77" s="62">
        <v>5</v>
      </c>
      <c r="U77" s="62">
        <v>30</v>
      </c>
      <c r="V77" s="62">
        <v>30</v>
      </c>
      <c r="W77" s="62">
        <v>100</v>
      </c>
    </row>
    <row r="78" spans="1:23" x14ac:dyDescent="0.25">
      <c r="A78" s="75" t="s">
        <v>232</v>
      </c>
      <c r="B78" s="62">
        <v>2.4</v>
      </c>
      <c r="C78" s="62">
        <v>2.7</v>
      </c>
      <c r="D78" s="62">
        <v>3</v>
      </c>
      <c r="E78" s="62">
        <v>5.5</v>
      </c>
      <c r="F78" s="62">
        <v>0.26</v>
      </c>
      <c r="G78" s="62">
        <v>0.6</v>
      </c>
      <c r="H78" s="62">
        <v>0.7</v>
      </c>
      <c r="I78" s="62">
        <v>1.0900000000000001</v>
      </c>
      <c r="J78" s="62">
        <v>0.115</v>
      </c>
      <c r="K78" s="62">
        <v>0.16</v>
      </c>
      <c r="L78" s="62">
        <v>500</v>
      </c>
      <c r="M78" s="62">
        <v>1000</v>
      </c>
      <c r="N78" s="62">
        <v>60</v>
      </c>
      <c r="O78" s="62">
        <v>120</v>
      </c>
      <c r="P78" s="62">
        <v>25</v>
      </c>
      <c r="Q78" s="62">
        <v>125</v>
      </c>
      <c r="R78" s="62">
        <v>25</v>
      </c>
      <c r="S78" s="62">
        <v>100</v>
      </c>
      <c r="T78" s="62">
        <v>5</v>
      </c>
      <c r="U78" s="62">
        <v>16</v>
      </c>
      <c r="V78" s="62">
        <v>30</v>
      </c>
      <c r="W78" s="62">
        <v>100</v>
      </c>
    </row>
    <row r="79" spans="1:23" x14ac:dyDescent="0.25">
      <c r="A79" s="75" t="s">
        <v>233</v>
      </c>
      <c r="B79" s="62" t="s">
        <v>2</v>
      </c>
      <c r="C79" s="62" t="s">
        <v>2</v>
      </c>
      <c r="D79" s="62" t="s">
        <v>2</v>
      </c>
      <c r="E79" s="62" t="s">
        <v>2</v>
      </c>
      <c r="F79" s="62" t="s">
        <v>2</v>
      </c>
      <c r="G79" s="62" t="s">
        <v>2</v>
      </c>
      <c r="H79" s="62" t="s">
        <v>2</v>
      </c>
      <c r="I79" s="62" t="s">
        <v>2</v>
      </c>
      <c r="J79" s="62" t="s">
        <v>2</v>
      </c>
      <c r="K79" s="62" t="s">
        <v>2</v>
      </c>
      <c r="L79" s="62" t="s">
        <v>2</v>
      </c>
      <c r="M79" s="62" t="s">
        <v>2</v>
      </c>
      <c r="N79" s="62" t="s">
        <v>2</v>
      </c>
      <c r="O79" s="62" t="s">
        <v>2</v>
      </c>
      <c r="P79" s="62" t="s">
        <v>2</v>
      </c>
      <c r="Q79" s="62" t="s">
        <v>2</v>
      </c>
      <c r="R79" s="62" t="s">
        <v>2</v>
      </c>
      <c r="S79" s="62" t="s">
        <v>2</v>
      </c>
      <c r="T79" s="62" t="s">
        <v>2</v>
      </c>
      <c r="U79" s="62" t="s">
        <v>2</v>
      </c>
      <c r="V79" s="62" t="s">
        <v>2</v>
      </c>
      <c r="W79" s="62" t="s">
        <v>2</v>
      </c>
    </row>
    <row r="80" spans="1:23" x14ac:dyDescent="0.25">
      <c r="A80" s="79" t="s">
        <v>234</v>
      </c>
      <c r="B80" s="62">
        <v>1.75</v>
      </c>
      <c r="C80" s="62">
        <v>3.5</v>
      </c>
      <c r="D80" s="62">
        <v>0.75</v>
      </c>
      <c r="E80" s="62">
        <v>1.75</v>
      </c>
      <c r="F80" s="62">
        <v>0.25</v>
      </c>
      <c r="G80" s="62">
        <v>0.75</v>
      </c>
      <c r="H80" s="62">
        <v>0.65</v>
      </c>
      <c r="I80" s="62">
        <v>2.5</v>
      </c>
      <c r="J80" s="62">
        <v>0.1</v>
      </c>
      <c r="K80" s="62">
        <v>0.3</v>
      </c>
      <c r="L80" s="62">
        <v>300</v>
      </c>
      <c r="M80" s="62">
        <v>850</v>
      </c>
      <c r="N80" s="62">
        <v>50</v>
      </c>
      <c r="O80" s="62">
        <v>300</v>
      </c>
      <c r="P80" s="62">
        <v>150</v>
      </c>
      <c r="Q80" s="62">
        <v>500</v>
      </c>
      <c r="R80" s="62">
        <v>40</v>
      </c>
      <c r="S80" s="62">
        <v>100</v>
      </c>
      <c r="T80" s="62">
        <v>6</v>
      </c>
      <c r="U80" s="62">
        <v>40</v>
      </c>
      <c r="V80" s="62">
        <v>15</v>
      </c>
      <c r="W80" s="62">
        <v>50</v>
      </c>
    </row>
    <row r="81" spans="1:23" x14ac:dyDescent="0.25">
      <c r="A81" s="89" t="s">
        <v>235</v>
      </c>
      <c r="B81" s="72">
        <v>2.7</v>
      </c>
      <c r="C81" s="72">
        <v>3.5</v>
      </c>
      <c r="D81" s="72">
        <v>1</v>
      </c>
      <c r="E81" s="72">
        <v>1.75</v>
      </c>
      <c r="F81" s="72">
        <v>0.3</v>
      </c>
      <c r="G81" s="72">
        <v>0.6</v>
      </c>
      <c r="H81" s="72">
        <v>1.25</v>
      </c>
      <c r="I81" s="72">
        <v>2.5</v>
      </c>
      <c r="J81" s="72">
        <v>0.14000000000000001</v>
      </c>
      <c r="K81" s="72">
        <v>0.3</v>
      </c>
      <c r="L81" s="72">
        <v>0</v>
      </c>
      <c r="M81" s="72">
        <v>0</v>
      </c>
      <c r="N81" s="72">
        <v>50</v>
      </c>
      <c r="O81" s="72">
        <v>300</v>
      </c>
      <c r="P81" s="72">
        <v>80</v>
      </c>
      <c r="Q81" s="72">
        <v>300</v>
      </c>
      <c r="R81" s="72">
        <v>50</v>
      </c>
      <c r="S81" s="72">
        <v>100</v>
      </c>
      <c r="T81" s="72">
        <v>6</v>
      </c>
      <c r="U81" s="72">
        <v>30</v>
      </c>
      <c r="V81" s="72">
        <v>15</v>
      </c>
      <c r="W81" s="72">
        <v>50</v>
      </c>
    </row>
    <row r="82" spans="1:23" x14ac:dyDescent="0.25">
      <c r="A82" s="75" t="s">
        <v>236</v>
      </c>
      <c r="B82" s="62">
        <v>2.4</v>
      </c>
      <c r="C82" s="62">
        <v>3</v>
      </c>
      <c r="D82" s="62">
        <v>1.5</v>
      </c>
      <c r="E82" s="62">
        <v>5</v>
      </c>
      <c r="F82" s="62">
        <v>0.25</v>
      </c>
      <c r="G82" s="62">
        <v>1</v>
      </c>
      <c r="H82" s="62">
        <v>1.6</v>
      </c>
      <c r="I82" s="62">
        <v>2.5</v>
      </c>
      <c r="J82" s="62">
        <v>0.15</v>
      </c>
      <c r="K82" s="62">
        <v>0.5</v>
      </c>
      <c r="L82" s="62">
        <v>0</v>
      </c>
      <c r="M82" s="62">
        <v>0</v>
      </c>
      <c r="N82" s="62">
        <v>60</v>
      </c>
      <c r="O82" s="62">
        <v>200</v>
      </c>
      <c r="P82" s="62">
        <v>20</v>
      </c>
      <c r="Q82" s="62">
        <v>200</v>
      </c>
      <c r="R82" s="62">
        <v>20</v>
      </c>
      <c r="S82" s="62">
        <v>200</v>
      </c>
      <c r="T82" s="62">
        <v>5</v>
      </c>
      <c r="U82" s="62">
        <v>100</v>
      </c>
      <c r="V82" s="62">
        <v>30</v>
      </c>
      <c r="W82" s="62">
        <v>100</v>
      </c>
    </row>
    <row r="83" spans="1:23" x14ac:dyDescent="0.25">
      <c r="A83" s="76" t="s">
        <v>237</v>
      </c>
      <c r="B83" s="62" t="s">
        <v>2</v>
      </c>
      <c r="C83" s="62" t="s">
        <v>2</v>
      </c>
      <c r="D83" s="62" t="s">
        <v>2</v>
      </c>
      <c r="E83" s="62" t="s">
        <v>2</v>
      </c>
      <c r="F83" s="62" t="s">
        <v>2</v>
      </c>
      <c r="G83" s="62" t="s">
        <v>2</v>
      </c>
      <c r="H83" s="62" t="s">
        <v>2</v>
      </c>
      <c r="I83" s="62" t="s">
        <v>2</v>
      </c>
      <c r="J83" s="62" t="s">
        <v>2</v>
      </c>
      <c r="K83" s="62" t="s">
        <v>2</v>
      </c>
      <c r="L83" s="62" t="s">
        <v>2</v>
      </c>
      <c r="M83" s="62" t="s">
        <v>2</v>
      </c>
      <c r="N83" s="62" t="s">
        <v>2</v>
      </c>
      <c r="O83" s="62" t="s">
        <v>2</v>
      </c>
      <c r="P83" s="62" t="s">
        <v>2</v>
      </c>
      <c r="Q83" s="62" t="s">
        <v>2</v>
      </c>
      <c r="R83" s="62" t="s">
        <v>2</v>
      </c>
      <c r="S83" s="62" t="s">
        <v>2</v>
      </c>
      <c r="T83" s="62" t="s">
        <v>2</v>
      </c>
      <c r="U83" s="62" t="s">
        <v>2</v>
      </c>
      <c r="V83" s="62" t="s">
        <v>2</v>
      </c>
      <c r="W83" s="62" t="s">
        <v>2</v>
      </c>
    </row>
    <row r="84" spans="1:23" x14ac:dyDescent="0.25">
      <c r="A84" s="78" t="s">
        <v>238</v>
      </c>
      <c r="B84" s="80">
        <v>1.8</v>
      </c>
      <c r="C84" s="80">
        <v>2.8</v>
      </c>
      <c r="D84" s="80">
        <v>0.32</v>
      </c>
      <c r="E84" s="80">
        <v>1.5</v>
      </c>
      <c r="F84" s="80">
        <v>0.18</v>
      </c>
      <c r="G84" s="80">
        <v>0.3</v>
      </c>
      <c r="H84" s="80">
        <v>1.2</v>
      </c>
      <c r="I84" s="80">
        <v>2.5</v>
      </c>
      <c r="J84" s="80">
        <v>0.16</v>
      </c>
      <c r="K84" s="80">
        <v>0.4</v>
      </c>
      <c r="L84" s="80">
        <v>0</v>
      </c>
      <c r="M84" s="80">
        <v>0</v>
      </c>
      <c r="N84" s="80">
        <v>15</v>
      </c>
      <c r="O84" s="80">
        <v>200</v>
      </c>
      <c r="P84" s="80">
        <v>25</v>
      </c>
      <c r="Q84" s="80">
        <v>200</v>
      </c>
      <c r="R84" s="80">
        <v>15</v>
      </c>
      <c r="S84" s="80">
        <v>125</v>
      </c>
      <c r="T84" s="80">
        <v>4</v>
      </c>
      <c r="U84" s="80">
        <v>20</v>
      </c>
      <c r="V84" s="80">
        <v>10</v>
      </c>
      <c r="W84" s="80">
        <v>30</v>
      </c>
    </row>
    <row r="85" spans="1:23" x14ac:dyDescent="0.25">
      <c r="A85" s="76" t="s">
        <v>239</v>
      </c>
      <c r="B85" s="62">
        <v>3</v>
      </c>
      <c r="C85" s="62">
        <v>4</v>
      </c>
      <c r="D85" s="62">
        <v>1.5</v>
      </c>
      <c r="E85" s="62">
        <v>2.5</v>
      </c>
      <c r="F85" s="62">
        <v>0.7</v>
      </c>
      <c r="G85" s="62">
        <v>1</v>
      </c>
      <c r="H85" s="62">
        <v>6</v>
      </c>
      <c r="I85" s="62">
        <v>8</v>
      </c>
      <c r="J85" s="62">
        <v>0.25</v>
      </c>
      <c r="K85" s="62">
        <v>0.4</v>
      </c>
      <c r="L85" s="62">
        <v>8000</v>
      </c>
      <c r="M85" s="62">
        <v>15000</v>
      </c>
      <c r="N85" s="62">
        <v>40</v>
      </c>
      <c r="O85" s="62">
        <v>100</v>
      </c>
      <c r="P85" s="62">
        <v>30</v>
      </c>
      <c r="Q85" s="62">
        <v>250</v>
      </c>
      <c r="R85" s="62">
        <v>30</v>
      </c>
      <c r="S85" s="62">
        <v>200</v>
      </c>
      <c r="T85" s="62">
        <v>7</v>
      </c>
      <c r="U85" s="62">
        <v>20</v>
      </c>
      <c r="V85" s="62">
        <v>40</v>
      </c>
      <c r="W85" s="62">
        <v>70</v>
      </c>
    </row>
    <row r="86" spans="1:23" x14ac:dyDescent="0.25">
      <c r="A86" s="75" t="s">
        <v>240</v>
      </c>
      <c r="B86" s="62">
        <v>4</v>
      </c>
      <c r="C86" s="62">
        <v>6</v>
      </c>
      <c r="D86" s="62">
        <v>0.6</v>
      </c>
      <c r="E86" s="62">
        <v>1</v>
      </c>
      <c r="F86" s="62">
        <v>0.5</v>
      </c>
      <c r="G86" s="62">
        <v>1.5</v>
      </c>
      <c r="H86" s="62">
        <v>4</v>
      </c>
      <c r="I86" s="62">
        <v>11.5</v>
      </c>
      <c r="J86" s="62">
        <v>0.2</v>
      </c>
      <c r="K86" s="62">
        <v>0.5</v>
      </c>
      <c r="L86" s="62">
        <v>8000</v>
      </c>
      <c r="M86" s="62">
        <v>15000</v>
      </c>
      <c r="N86" s="62">
        <v>50</v>
      </c>
      <c r="O86" s="62">
        <v>100</v>
      </c>
      <c r="P86" s="62">
        <v>30</v>
      </c>
      <c r="Q86" s="62">
        <v>250</v>
      </c>
      <c r="R86" s="62">
        <v>20</v>
      </c>
      <c r="S86" s="62">
        <v>250</v>
      </c>
      <c r="T86" s="62">
        <v>7</v>
      </c>
      <c r="U86" s="62">
        <v>20</v>
      </c>
      <c r="V86" s="62">
        <v>25</v>
      </c>
      <c r="W86" s="62">
        <v>50</v>
      </c>
    </row>
    <row r="87" spans="1:23" x14ac:dyDescent="0.25">
      <c r="A87" s="75" t="s">
        <v>241</v>
      </c>
      <c r="B87" s="62">
        <v>4.5</v>
      </c>
      <c r="C87" s="62">
        <v>6</v>
      </c>
      <c r="D87" s="62">
        <v>0.75</v>
      </c>
      <c r="E87" s="62">
        <v>1</v>
      </c>
      <c r="F87" s="62">
        <v>1</v>
      </c>
      <c r="G87" s="62">
        <v>1.2</v>
      </c>
      <c r="H87" s="62">
        <v>9.3000000000000007</v>
      </c>
      <c r="I87" s="62">
        <v>11.5</v>
      </c>
      <c r="J87" s="62">
        <v>0.28999999999999998</v>
      </c>
      <c r="K87" s="62">
        <v>0.5</v>
      </c>
      <c r="L87" s="62">
        <v>8000</v>
      </c>
      <c r="M87" s="62">
        <v>15000</v>
      </c>
      <c r="N87" s="62">
        <v>50</v>
      </c>
      <c r="O87" s="62">
        <v>100</v>
      </c>
      <c r="P87" s="62">
        <v>30</v>
      </c>
      <c r="Q87" s="62">
        <v>250</v>
      </c>
      <c r="R87" s="62">
        <v>45</v>
      </c>
      <c r="S87" s="62">
        <v>250</v>
      </c>
      <c r="T87" s="62">
        <v>7</v>
      </c>
      <c r="U87" s="62">
        <v>20</v>
      </c>
      <c r="V87" s="62">
        <v>25</v>
      </c>
      <c r="W87" s="62">
        <v>50</v>
      </c>
    </row>
    <row r="88" spans="1:23" x14ac:dyDescent="0.25">
      <c r="A88" s="75" t="s">
        <v>242</v>
      </c>
      <c r="B88" s="62">
        <v>3</v>
      </c>
      <c r="C88" s="62">
        <v>4</v>
      </c>
      <c r="D88" s="62">
        <v>1.5</v>
      </c>
      <c r="E88" s="62">
        <v>2.5</v>
      </c>
      <c r="F88" s="62">
        <v>0.7</v>
      </c>
      <c r="G88" s="62">
        <v>1</v>
      </c>
      <c r="H88" s="62">
        <v>6</v>
      </c>
      <c r="I88" s="62">
        <v>8</v>
      </c>
      <c r="J88" s="62">
        <v>0.25</v>
      </c>
      <c r="K88" s="62">
        <v>0.4</v>
      </c>
      <c r="L88" s="62">
        <v>8000</v>
      </c>
      <c r="M88" s="62">
        <v>15000</v>
      </c>
      <c r="N88" s="62">
        <v>40</v>
      </c>
      <c r="O88" s="62">
        <v>100</v>
      </c>
      <c r="P88" s="62">
        <v>30</v>
      </c>
      <c r="Q88" s="62">
        <v>250</v>
      </c>
      <c r="R88" s="62">
        <v>30</v>
      </c>
      <c r="S88" s="62">
        <v>200</v>
      </c>
      <c r="T88" s="62">
        <v>7</v>
      </c>
      <c r="U88" s="62">
        <v>20</v>
      </c>
      <c r="V88" s="62">
        <v>40</v>
      </c>
      <c r="W88" s="62">
        <v>70</v>
      </c>
    </row>
    <row r="89" spans="1:23" x14ac:dyDescent="0.25">
      <c r="A89" s="75" t="s">
        <v>243</v>
      </c>
      <c r="B89" s="62" t="s">
        <v>2</v>
      </c>
      <c r="C89" s="62" t="s">
        <v>2</v>
      </c>
      <c r="D89" s="62" t="s">
        <v>2</v>
      </c>
      <c r="E89" s="62" t="s">
        <v>2</v>
      </c>
      <c r="F89" s="62" t="s">
        <v>2</v>
      </c>
      <c r="G89" s="62" t="s">
        <v>2</v>
      </c>
      <c r="H89" s="62" t="s">
        <v>2</v>
      </c>
      <c r="I89" s="62" t="s">
        <v>2</v>
      </c>
      <c r="J89" s="62" t="s">
        <v>2</v>
      </c>
      <c r="K89" s="62" t="s">
        <v>2</v>
      </c>
      <c r="L89" s="62" t="s">
        <v>2</v>
      </c>
      <c r="M89" s="62" t="s">
        <v>2</v>
      </c>
      <c r="N89" s="62" t="s">
        <v>2</v>
      </c>
      <c r="O89" s="62" t="s">
        <v>2</v>
      </c>
      <c r="P89" s="62" t="s">
        <v>2</v>
      </c>
      <c r="Q89" s="62" t="s">
        <v>2</v>
      </c>
      <c r="R89" s="62" t="s">
        <v>2</v>
      </c>
      <c r="S89" s="62" t="s">
        <v>2</v>
      </c>
      <c r="T89" s="62" t="s">
        <v>2</v>
      </c>
      <c r="U89" s="62" t="s">
        <v>2</v>
      </c>
      <c r="V89" s="62" t="s">
        <v>2</v>
      </c>
      <c r="W89" s="62" t="s">
        <v>2</v>
      </c>
    </row>
    <row r="90" spans="1:23" x14ac:dyDescent="0.25">
      <c r="A90" s="75" t="s">
        <v>244</v>
      </c>
      <c r="B90" s="62" t="s">
        <v>2</v>
      </c>
      <c r="C90" s="62" t="s">
        <v>2</v>
      </c>
      <c r="D90" s="62" t="s">
        <v>2</v>
      </c>
      <c r="E90" s="62" t="s">
        <v>2</v>
      </c>
      <c r="F90" s="62" t="s">
        <v>2</v>
      </c>
      <c r="G90" s="62" t="s">
        <v>2</v>
      </c>
      <c r="H90" s="62" t="s">
        <v>2</v>
      </c>
      <c r="I90" s="62" t="s">
        <v>2</v>
      </c>
      <c r="J90" s="62" t="s">
        <v>2</v>
      </c>
      <c r="K90" s="62" t="s">
        <v>2</v>
      </c>
      <c r="L90" s="62" t="s">
        <v>2</v>
      </c>
      <c r="M90" s="62" t="s">
        <v>2</v>
      </c>
      <c r="N90" s="62" t="s">
        <v>2</v>
      </c>
      <c r="O90" s="62" t="s">
        <v>2</v>
      </c>
      <c r="P90" s="62" t="s">
        <v>2</v>
      </c>
      <c r="Q90" s="62" t="s">
        <v>2</v>
      </c>
      <c r="R90" s="62" t="s">
        <v>2</v>
      </c>
      <c r="S90" s="62" t="s">
        <v>2</v>
      </c>
      <c r="T90" s="62" t="s">
        <v>2</v>
      </c>
      <c r="U90" s="62" t="s">
        <v>2</v>
      </c>
      <c r="V90" s="62" t="s">
        <v>2</v>
      </c>
      <c r="W90" s="62" t="s">
        <v>2</v>
      </c>
    </row>
    <row r="91" spans="1:23" x14ac:dyDescent="0.25">
      <c r="A91" s="75" t="s">
        <v>245</v>
      </c>
      <c r="B91" s="62">
        <v>4.5</v>
      </c>
      <c r="C91" s="62">
        <v>6</v>
      </c>
      <c r="D91" s="62">
        <v>1.4</v>
      </c>
      <c r="E91" s="62">
        <v>3.5</v>
      </c>
      <c r="F91" s="62">
        <v>0.3</v>
      </c>
      <c r="G91" s="62">
        <v>1</v>
      </c>
      <c r="H91" s="62">
        <v>3.9</v>
      </c>
      <c r="I91" s="62">
        <v>5</v>
      </c>
      <c r="J91" s="62">
        <v>0.34</v>
      </c>
      <c r="K91" s="62">
        <v>1.25</v>
      </c>
      <c r="L91" s="62">
        <v>7500</v>
      </c>
      <c r="M91" s="62">
        <v>10000</v>
      </c>
      <c r="N91" s="62">
        <v>50</v>
      </c>
      <c r="O91" s="62">
        <v>300</v>
      </c>
      <c r="P91" s="62">
        <v>50</v>
      </c>
      <c r="Q91" s="62">
        <v>300</v>
      </c>
      <c r="R91" s="62">
        <v>25</v>
      </c>
      <c r="S91" s="62">
        <v>100</v>
      </c>
      <c r="T91" s="62">
        <v>7</v>
      </c>
      <c r="U91" s="62">
        <v>20</v>
      </c>
      <c r="V91" s="62">
        <v>25</v>
      </c>
      <c r="W91" s="62">
        <v>60</v>
      </c>
    </row>
    <row r="92" spans="1:23" x14ac:dyDescent="0.25">
      <c r="A92" s="75" t="s">
        <v>246</v>
      </c>
      <c r="B92" s="62">
        <v>3.5</v>
      </c>
      <c r="C92" s="62">
        <v>6</v>
      </c>
      <c r="D92" s="62">
        <v>1.5</v>
      </c>
      <c r="E92" s="62">
        <v>5.5</v>
      </c>
      <c r="F92" s="62">
        <v>1.5</v>
      </c>
      <c r="G92" s="62">
        <v>4</v>
      </c>
      <c r="H92" s="62">
        <v>3.5</v>
      </c>
      <c r="I92" s="62">
        <v>5.5</v>
      </c>
      <c r="J92" s="62">
        <v>0.25</v>
      </c>
      <c r="K92" s="62">
        <v>1.25</v>
      </c>
      <c r="L92" s="62">
        <v>7000</v>
      </c>
      <c r="M92" s="62">
        <v>9000</v>
      </c>
      <c r="N92" s="62">
        <v>50</v>
      </c>
      <c r="O92" s="62">
        <v>300</v>
      </c>
      <c r="P92" s="62">
        <v>50</v>
      </c>
      <c r="Q92" s="62">
        <v>400</v>
      </c>
      <c r="R92" s="62">
        <v>25</v>
      </c>
      <c r="S92" s="62">
        <v>300</v>
      </c>
      <c r="T92" s="62">
        <v>5</v>
      </c>
      <c r="U92" s="62">
        <v>20</v>
      </c>
      <c r="V92" s="62">
        <v>25</v>
      </c>
      <c r="W92" s="62">
        <v>100</v>
      </c>
    </row>
    <row r="93" spans="1:23" x14ac:dyDescent="0.25">
      <c r="A93" s="75" t="s">
        <v>247</v>
      </c>
      <c r="B93" s="62">
        <v>4</v>
      </c>
      <c r="C93" s="62">
        <v>6</v>
      </c>
      <c r="D93" s="62">
        <v>1</v>
      </c>
      <c r="E93" s="62">
        <v>2.5</v>
      </c>
      <c r="F93" s="62">
        <v>0.3</v>
      </c>
      <c r="G93" s="62">
        <v>1</v>
      </c>
      <c r="H93" s="62">
        <v>4</v>
      </c>
      <c r="I93" s="62">
        <v>6</v>
      </c>
      <c r="J93" s="62">
        <v>0.35</v>
      </c>
      <c r="K93" s="62">
        <v>1</v>
      </c>
      <c r="L93" s="62">
        <v>5000</v>
      </c>
      <c r="M93" s="62">
        <v>8000</v>
      </c>
      <c r="N93" s="62">
        <v>60</v>
      </c>
      <c r="O93" s="62">
        <v>300</v>
      </c>
      <c r="P93" s="62">
        <v>50</v>
      </c>
      <c r="Q93" s="62">
        <v>250</v>
      </c>
      <c r="R93" s="62">
        <v>20</v>
      </c>
      <c r="S93" s="62">
        <v>200</v>
      </c>
      <c r="T93" s="62">
        <v>5</v>
      </c>
      <c r="U93" s="62">
        <v>25</v>
      </c>
      <c r="V93" s="62">
        <v>25</v>
      </c>
      <c r="W93" s="62">
        <v>75</v>
      </c>
    </row>
    <row r="94" spans="1:23" x14ac:dyDescent="0.25">
      <c r="A94" s="75" t="s">
        <v>248</v>
      </c>
      <c r="B94" s="62">
        <v>3.5</v>
      </c>
      <c r="C94" s="62">
        <v>5</v>
      </c>
      <c r="D94" s="62">
        <v>1.3</v>
      </c>
      <c r="E94" s="62">
        <v>2.8</v>
      </c>
      <c r="F94" s="62">
        <v>0.3</v>
      </c>
      <c r="G94" s="62">
        <v>1</v>
      </c>
      <c r="H94" s="62">
        <v>3.5</v>
      </c>
      <c r="I94" s="62">
        <v>4.5</v>
      </c>
      <c r="J94" s="62">
        <v>0.22</v>
      </c>
      <c r="K94" s="62">
        <v>0.7</v>
      </c>
      <c r="L94" s="62">
        <v>5000</v>
      </c>
      <c r="M94" s="62">
        <v>8000</v>
      </c>
      <c r="N94" s="62">
        <v>60</v>
      </c>
      <c r="O94" s="62">
        <v>300</v>
      </c>
      <c r="P94" s="62">
        <v>50</v>
      </c>
      <c r="Q94" s="62">
        <v>250</v>
      </c>
      <c r="R94" s="62">
        <v>20</v>
      </c>
      <c r="S94" s="62">
        <v>200</v>
      </c>
      <c r="T94" s="62">
        <v>5</v>
      </c>
      <c r="U94" s="62">
        <v>25</v>
      </c>
      <c r="V94" s="62">
        <v>25</v>
      </c>
      <c r="W94" s="62">
        <v>75</v>
      </c>
    </row>
    <row r="95" spans="1:23" x14ac:dyDescent="0.25">
      <c r="A95" s="74" t="s">
        <v>249</v>
      </c>
      <c r="B95" s="62">
        <v>4</v>
      </c>
      <c r="C95" s="62">
        <v>6</v>
      </c>
      <c r="D95" s="62">
        <v>1</v>
      </c>
      <c r="E95" s="62">
        <v>2.5</v>
      </c>
      <c r="F95" s="62">
        <v>0.3</v>
      </c>
      <c r="G95" s="62">
        <v>1</v>
      </c>
      <c r="H95" s="62">
        <v>4</v>
      </c>
      <c r="I95" s="62">
        <v>6</v>
      </c>
      <c r="J95" s="62">
        <v>0.35</v>
      </c>
      <c r="K95" s="62">
        <v>1</v>
      </c>
      <c r="L95" s="62">
        <v>5000</v>
      </c>
      <c r="M95" s="62">
        <v>8000</v>
      </c>
      <c r="N95" s="62">
        <v>60</v>
      </c>
      <c r="O95" s="62">
        <v>300</v>
      </c>
      <c r="P95" s="62">
        <v>25</v>
      </c>
      <c r="Q95" s="62">
        <v>250</v>
      </c>
      <c r="R95" s="62">
        <v>20</v>
      </c>
      <c r="S95" s="62">
        <v>200</v>
      </c>
      <c r="T95" s="62">
        <v>6</v>
      </c>
      <c r="U95" s="62">
        <v>25</v>
      </c>
      <c r="V95" s="62">
        <v>25</v>
      </c>
      <c r="W95" s="62">
        <v>75</v>
      </c>
    </row>
    <row r="96" spans="1:23" x14ac:dyDescent="0.25">
      <c r="A96" s="75" t="s">
        <v>250</v>
      </c>
      <c r="B96" s="62" t="s">
        <v>2</v>
      </c>
      <c r="C96" s="62" t="s">
        <v>2</v>
      </c>
      <c r="D96" s="62" t="s">
        <v>2</v>
      </c>
      <c r="E96" s="62" t="s">
        <v>2</v>
      </c>
      <c r="F96" s="62" t="s">
        <v>2</v>
      </c>
      <c r="G96" s="62" t="s">
        <v>2</v>
      </c>
      <c r="H96" s="62" t="s">
        <v>2</v>
      </c>
      <c r="I96" s="62" t="s">
        <v>2</v>
      </c>
      <c r="J96" s="62" t="s">
        <v>2</v>
      </c>
      <c r="K96" s="62" t="s">
        <v>2</v>
      </c>
      <c r="L96" s="62" t="s">
        <v>2</v>
      </c>
      <c r="M96" s="62" t="s">
        <v>2</v>
      </c>
      <c r="N96" s="62" t="s">
        <v>2</v>
      </c>
      <c r="O96" s="62" t="s">
        <v>2</v>
      </c>
      <c r="P96" s="62" t="s">
        <v>2</v>
      </c>
      <c r="Q96" s="62" t="s">
        <v>2</v>
      </c>
      <c r="R96" s="62" t="s">
        <v>2</v>
      </c>
      <c r="S96" s="62" t="s">
        <v>2</v>
      </c>
      <c r="T96" s="62" t="s">
        <v>2</v>
      </c>
      <c r="U96" s="62" t="s">
        <v>2</v>
      </c>
      <c r="V96" s="62" t="s">
        <v>2</v>
      </c>
      <c r="W96" s="62" t="s">
        <v>2</v>
      </c>
    </row>
    <row r="97" spans="1:23" x14ac:dyDescent="0.25">
      <c r="A97" s="75" t="s">
        <v>251</v>
      </c>
      <c r="B97" s="62" t="s">
        <v>2</v>
      </c>
      <c r="C97" s="62" t="s">
        <v>2</v>
      </c>
      <c r="D97" s="62" t="s">
        <v>2</v>
      </c>
      <c r="E97" s="62" t="s">
        <v>2</v>
      </c>
      <c r="F97" s="62" t="s">
        <v>2</v>
      </c>
      <c r="G97" s="62" t="s">
        <v>2</v>
      </c>
      <c r="H97" s="62" t="s">
        <v>2</v>
      </c>
      <c r="I97" s="62" t="s">
        <v>2</v>
      </c>
      <c r="J97" s="62" t="s">
        <v>2</v>
      </c>
      <c r="K97" s="62" t="s">
        <v>2</v>
      </c>
      <c r="L97" s="62" t="s">
        <v>2</v>
      </c>
      <c r="M97" s="62" t="s">
        <v>2</v>
      </c>
      <c r="N97" s="62" t="s">
        <v>2</v>
      </c>
      <c r="O97" s="62" t="s">
        <v>2</v>
      </c>
      <c r="P97" s="62" t="s">
        <v>2</v>
      </c>
      <c r="Q97" s="62" t="s">
        <v>2</v>
      </c>
      <c r="R97" s="62" t="s">
        <v>2</v>
      </c>
      <c r="S97" s="62" t="s">
        <v>2</v>
      </c>
      <c r="T97" s="62" t="s">
        <v>2</v>
      </c>
      <c r="U97" s="62" t="s">
        <v>2</v>
      </c>
      <c r="V97" s="62" t="s">
        <v>2</v>
      </c>
      <c r="W97" s="62" t="s">
        <v>2</v>
      </c>
    </row>
    <row r="98" spans="1:23" x14ac:dyDescent="0.25">
      <c r="A98" s="75" t="s">
        <v>252</v>
      </c>
      <c r="B98" s="62" t="s">
        <v>2</v>
      </c>
      <c r="C98" s="62" t="s">
        <v>2</v>
      </c>
      <c r="D98" s="62" t="s">
        <v>2</v>
      </c>
      <c r="E98" s="62" t="s">
        <v>2</v>
      </c>
      <c r="F98" s="62" t="s">
        <v>2</v>
      </c>
      <c r="G98" s="62" t="s">
        <v>2</v>
      </c>
      <c r="H98" s="62" t="s">
        <v>2</v>
      </c>
      <c r="I98" s="62" t="s">
        <v>2</v>
      </c>
      <c r="J98" s="62" t="s">
        <v>2</v>
      </c>
      <c r="K98" s="62" t="s">
        <v>2</v>
      </c>
      <c r="L98" s="62" t="s">
        <v>2</v>
      </c>
      <c r="M98" s="62" t="s">
        <v>2</v>
      </c>
      <c r="N98" s="62" t="s">
        <v>2</v>
      </c>
      <c r="O98" s="62" t="s">
        <v>2</v>
      </c>
      <c r="P98" s="62" t="s">
        <v>2</v>
      </c>
      <c r="Q98" s="62" t="s">
        <v>2</v>
      </c>
      <c r="R98" s="62" t="s">
        <v>2</v>
      </c>
      <c r="S98" s="62" t="s">
        <v>2</v>
      </c>
      <c r="T98" s="62" t="s">
        <v>2</v>
      </c>
      <c r="U98" s="62" t="s">
        <v>2</v>
      </c>
      <c r="V98" s="62" t="s">
        <v>2</v>
      </c>
      <c r="W98" s="62" t="s">
        <v>2</v>
      </c>
    </row>
    <row r="99" spans="1:23" x14ac:dyDescent="0.25">
      <c r="A99" s="75" t="s">
        <v>253</v>
      </c>
      <c r="B99" s="62">
        <v>3.5</v>
      </c>
      <c r="C99" s="62">
        <v>5.5</v>
      </c>
      <c r="D99" s="62">
        <v>2.5</v>
      </c>
      <c r="E99" s="62">
        <v>3.5</v>
      </c>
      <c r="F99" s="62">
        <v>0.3</v>
      </c>
      <c r="G99" s="62">
        <v>1</v>
      </c>
      <c r="H99" s="62">
        <v>3</v>
      </c>
      <c r="I99" s="62">
        <v>4.5</v>
      </c>
      <c r="J99" s="62">
        <v>0.25</v>
      </c>
      <c r="K99" s="62">
        <v>0.5</v>
      </c>
      <c r="L99" s="62">
        <v>0</v>
      </c>
      <c r="M99" s="62">
        <v>0</v>
      </c>
      <c r="N99" s="62">
        <v>50</v>
      </c>
      <c r="O99" s="62">
        <v>200</v>
      </c>
      <c r="P99" s="62">
        <v>50</v>
      </c>
      <c r="Q99" s="62">
        <v>250</v>
      </c>
      <c r="R99" s="62">
        <v>15</v>
      </c>
      <c r="S99" s="62">
        <v>200</v>
      </c>
      <c r="T99" s="62">
        <v>5</v>
      </c>
      <c r="U99" s="62">
        <v>15</v>
      </c>
      <c r="V99" s="62">
        <v>30</v>
      </c>
      <c r="W99" s="62">
        <v>85</v>
      </c>
    </row>
    <row r="100" spans="1:23" x14ac:dyDescent="0.25">
      <c r="A100" s="75" t="s">
        <v>254</v>
      </c>
      <c r="B100" s="62">
        <v>4</v>
      </c>
      <c r="C100" s="62">
        <v>5.5</v>
      </c>
      <c r="D100" s="62">
        <v>1.7</v>
      </c>
      <c r="E100" s="62">
        <v>3</v>
      </c>
      <c r="F100" s="62">
        <v>0.5</v>
      </c>
      <c r="G100" s="62">
        <v>0.8</v>
      </c>
      <c r="H100" s="62">
        <v>4</v>
      </c>
      <c r="I100" s="62">
        <v>5</v>
      </c>
      <c r="J100" s="62">
        <v>0.3</v>
      </c>
      <c r="K100" s="62">
        <v>0.8</v>
      </c>
      <c r="L100" s="62">
        <v>12000</v>
      </c>
      <c r="M100" s="62">
        <v>15000</v>
      </c>
      <c r="N100" s="62">
        <v>50</v>
      </c>
      <c r="O100" s="62">
        <v>300</v>
      </c>
      <c r="P100" s="62">
        <v>50</v>
      </c>
      <c r="Q100" s="62">
        <v>250</v>
      </c>
      <c r="R100" s="62">
        <v>20</v>
      </c>
      <c r="S100" s="62">
        <v>50</v>
      </c>
      <c r="T100" s="62">
        <v>6</v>
      </c>
      <c r="U100" s="62">
        <v>20</v>
      </c>
      <c r="V100" s="62">
        <v>25</v>
      </c>
      <c r="W100" s="62">
        <v>60</v>
      </c>
    </row>
    <row r="101" spans="1:23" x14ac:dyDescent="0.25">
      <c r="A101" s="75" t="s">
        <v>255</v>
      </c>
      <c r="B101" s="62">
        <v>4</v>
      </c>
      <c r="C101" s="62">
        <v>5</v>
      </c>
      <c r="D101" s="62">
        <v>2</v>
      </c>
      <c r="E101" s="62">
        <v>3.2</v>
      </c>
      <c r="F101" s="62">
        <v>0.3</v>
      </c>
      <c r="G101" s="62">
        <v>0.8</v>
      </c>
      <c r="H101" s="62">
        <v>3.5</v>
      </c>
      <c r="I101" s="62">
        <v>4.5</v>
      </c>
      <c r="J101" s="62">
        <v>0.25</v>
      </c>
      <c r="K101" s="62">
        <v>0.7</v>
      </c>
      <c r="L101" s="62">
        <v>8000</v>
      </c>
      <c r="M101" s="62">
        <v>15000</v>
      </c>
      <c r="N101" s="62">
        <v>50</v>
      </c>
      <c r="O101" s="62">
        <v>300</v>
      </c>
      <c r="P101" s="62">
        <v>40</v>
      </c>
      <c r="Q101" s="62">
        <v>250</v>
      </c>
      <c r="R101" s="62">
        <v>20</v>
      </c>
      <c r="S101" s="62">
        <v>250</v>
      </c>
      <c r="T101" s="62">
        <v>5</v>
      </c>
      <c r="U101" s="62">
        <v>20</v>
      </c>
      <c r="V101" s="62">
        <v>25</v>
      </c>
      <c r="W101" s="62">
        <v>60</v>
      </c>
    </row>
    <row r="102" spans="1:23" x14ac:dyDescent="0.25">
      <c r="A102" s="75" t="s">
        <v>256</v>
      </c>
      <c r="B102" s="62">
        <v>4</v>
      </c>
      <c r="C102" s="62">
        <v>5</v>
      </c>
      <c r="D102" s="62">
        <v>2</v>
      </c>
      <c r="E102" s="62">
        <v>3.2</v>
      </c>
      <c r="F102" s="62">
        <v>0.3</v>
      </c>
      <c r="G102" s="62">
        <v>0.8</v>
      </c>
      <c r="H102" s="62">
        <v>3.5</v>
      </c>
      <c r="I102" s="62">
        <v>4.5</v>
      </c>
      <c r="J102" s="62">
        <v>0.25</v>
      </c>
      <c r="K102" s="62">
        <v>0.7</v>
      </c>
      <c r="L102" s="62">
        <v>7000</v>
      </c>
      <c r="M102" s="62">
        <v>9000</v>
      </c>
      <c r="N102" s="62">
        <v>50</v>
      </c>
      <c r="O102" s="62">
        <v>300</v>
      </c>
      <c r="P102" s="62">
        <v>40</v>
      </c>
      <c r="Q102" s="62">
        <v>250</v>
      </c>
      <c r="R102" s="62">
        <v>20</v>
      </c>
      <c r="S102" s="62">
        <v>250</v>
      </c>
      <c r="T102" s="62">
        <v>5</v>
      </c>
      <c r="U102" s="62">
        <v>20</v>
      </c>
      <c r="V102" s="62">
        <v>25</v>
      </c>
      <c r="W102" s="62">
        <v>60</v>
      </c>
    </row>
    <row r="103" spans="1:23" x14ac:dyDescent="0.25">
      <c r="A103" s="75" t="s">
        <v>257</v>
      </c>
      <c r="B103" s="62" t="s">
        <v>2</v>
      </c>
      <c r="C103" s="62" t="s">
        <v>2</v>
      </c>
      <c r="D103" s="62" t="s">
        <v>2</v>
      </c>
      <c r="E103" s="62" t="s">
        <v>2</v>
      </c>
      <c r="F103" s="62" t="s">
        <v>2</v>
      </c>
      <c r="G103" s="62" t="s">
        <v>2</v>
      </c>
      <c r="H103" s="62" t="s">
        <v>2</v>
      </c>
      <c r="I103" s="62" t="s">
        <v>2</v>
      </c>
      <c r="J103" s="62" t="s">
        <v>2</v>
      </c>
      <c r="K103" s="62" t="s">
        <v>2</v>
      </c>
      <c r="L103" s="62" t="s">
        <v>2</v>
      </c>
      <c r="M103" s="62" t="s">
        <v>2</v>
      </c>
      <c r="N103" s="62" t="s">
        <v>2</v>
      </c>
      <c r="O103" s="62" t="s">
        <v>2</v>
      </c>
      <c r="P103" s="62" t="s">
        <v>2</v>
      </c>
      <c r="Q103" s="62" t="s">
        <v>2</v>
      </c>
      <c r="R103" s="62" t="s">
        <v>2</v>
      </c>
      <c r="S103" s="62" t="s">
        <v>2</v>
      </c>
      <c r="T103" s="62" t="s">
        <v>2</v>
      </c>
      <c r="U103" s="62" t="s">
        <v>2</v>
      </c>
      <c r="V103" s="62" t="s">
        <v>2</v>
      </c>
      <c r="W103" s="62" t="s">
        <v>2</v>
      </c>
    </row>
    <row r="104" spans="1:23" x14ac:dyDescent="0.25">
      <c r="A104" s="75" t="s">
        <v>258</v>
      </c>
      <c r="B104" s="62" t="s">
        <v>2</v>
      </c>
      <c r="C104" s="62" t="s">
        <v>2</v>
      </c>
      <c r="D104" s="62" t="s">
        <v>2</v>
      </c>
      <c r="E104" s="62" t="s">
        <v>2</v>
      </c>
      <c r="F104" s="62" t="s">
        <v>2</v>
      </c>
      <c r="G104" s="62" t="s">
        <v>2</v>
      </c>
      <c r="H104" s="62" t="s">
        <v>2</v>
      </c>
      <c r="I104" s="62" t="s">
        <v>2</v>
      </c>
      <c r="J104" s="62" t="s">
        <v>2</v>
      </c>
      <c r="K104" s="62" t="s">
        <v>2</v>
      </c>
      <c r="L104" s="62" t="s">
        <v>2</v>
      </c>
      <c r="M104" s="62" t="s">
        <v>2</v>
      </c>
      <c r="N104" s="62" t="s">
        <v>2</v>
      </c>
      <c r="O104" s="62" t="s">
        <v>2</v>
      </c>
      <c r="P104" s="62" t="s">
        <v>2</v>
      </c>
      <c r="Q104" s="62" t="s">
        <v>2</v>
      </c>
      <c r="R104" s="62" t="s">
        <v>2</v>
      </c>
      <c r="S104" s="62" t="s">
        <v>2</v>
      </c>
      <c r="T104" s="62" t="s">
        <v>2</v>
      </c>
      <c r="U104" s="62" t="s">
        <v>2</v>
      </c>
      <c r="V104" s="62" t="s">
        <v>2</v>
      </c>
      <c r="W104" s="62" t="s">
        <v>2</v>
      </c>
    </row>
    <row r="105" spans="1:23" x14ac:dyDescent="0.25">
      <c r="A105" s="74" t="s">
        <v>259</v>
      </c>
      <c r="B105" s="62">
        <v>3.2</v>
      </c>
      <c r="C105" s="62">
        <v>4.2</v>
      </c>
      <c r="D105" s="62">
        <v>0.15</v>
      </c>
      <c r="E105" s="62">
        <v>0.9</v>
      </c>
      <c r="F105" s="62">
        <v>0.2</v>
      </c>
      <c r="G105" s="62">
        <v>0.5</v>
      </c>
      <c r="H105" s="62">
        <v>2</v>
      </c>
      <c r="I105" s="62">
        <v>3</v>
      </c>
      <c r="J105" s="62">
        <v>0.13</v>
      </c>
      <c r="K105" s="62">
        <v>0.25</v>
      </c>
      <c r="L105" s="62">
        <v>0</v>
      </c>
      <c r="M105" s="62">
        <v>0</v>
      </c>
      <c r="N105" s="62">
        <v>55</v>
      </c>
      <c r="O105" s="62">
        <v>200</v>
      </c>
      <c r="P105" s="62">
        <v>6</v>
      </c>
      <c r="Q105" s="62">
        <v>100</v>
      </c>
      <c r="R105" s="62">
        <v>20</v>
      </c>
      <c r="S105" s="62">
        <v>100</v>
      </c>
      <c r="T105" s="62">
        <v>2</v>
      </c>
      <c r="U105" s="62">
        <v>15</v>
      </c>
      <c r="V105" s="62">
        <v>2</v>
      </c>
      <c r="W105" s="62">
        <v>10</v>
      </c>
    </row>
    <row r="106" spans="1:23" x14ac:dyDescent="0.25">
      <c r="A106" s="74" t="s">
        <v>260</v>
      </c>
      <c r="B106" s="62">
        <v>3.5</v>
      </c>
      <c r="C106" s="62">
        <v>5.0999999999999996</v>
      </c>
      <c r="D106" s="62">
        <v>0.9</v>
      </c>
      <c r="E106" s="62">
        <v>1.3</v>
      </c>
      <c r="F106" s="62">
        <v>0.35</v>
      </c>
      <c r="G106" s="62">
        <v>0.5</v>
      </c>
      <c r="H106" s="62">
        <v>3</v>
      </c>
      <c r="I106" s="62">
        <v>4.5</v>
      </c>
      <c r="J106" s="62">
        <v>0.3</v>
      </c>
      <c r="K106" s="62">
        <v>0.6</v>
      </c>
      <c r="L106" s="62">
        <v>0</v>
      </c>
      <c r="M106" s="62">
        <v>0</v>
      </c>
      <c r="N106" s="62">
        <v>160</v>
      </c>
      <c r="O106" s="62">
        <v>250</v>
      </c>
      <c r="P106" s="62">
        <v>40</v>
      </c>
      <c r="Q106" s="62">
        <v>150</v>
      </c>
      <c r="R106" s="62">
        <v>30</v>
      </c>
      <c r="S106" s="62">
        <v>60</v>
      </c>
      <c r="T106" s="62">
        <v>8</v>
      </c>
      <c r="U106" s="62">
        <v>15</v>
      </c>
      <c r="V106" s="62">
        <v>4</v>
      </c>
      <c r="W106" s="62">
        <v>13</v>
      </c>
    </row>
    <row r="107" spans="1:23" x14ac:dyDescent="0.25">
      <c r="A107" s="74" t="s">
        <v>261</v>
      </c>
      <c r="B107" s="62">
        <v>4.01</v>
      </c>
      <c r="C107" s="62">
        <v>5.5</v>
      </c>
      <c r="D107" s="62">
        <v>0.36</v>
      </c>
      <c r="E107" s="62">
        <v>2</v>
      </c>
      <c r="F107" s="62">
        <v>0.26</v>
      </c>
      <c r="G107" s="62">
        <v>1</v>
      </c>
      <c r="H107" s="62">
        <v>1.71</v>
      </c>
      <c r="I107" s="62">
        <v>2.5</v>
      </c>
      <c r="J107" s="62">
        <v>0.26</v>
      </c>
      <c r="K107" s="62">
        <v>0.5</v>
      </c>
      <c r="L107" s="62">
        <v>0</v>
      </c>
      <c r="M107" s="62">
        <v>0</v>
      </c>
      <c r="N107" s="62">
        <v>50.1</v>
      </c>
      <c r="O107" s="62">
        <v>350</v>
      </c>
      <c r="P107" s="62">
        <v>20.100000000000001</v>
      </c>
      <c r="Q107" s="62">
        <v>100</v>
      </c>
      <c r="R107" s="62">
        <v>20.100000000000001</v>
      </c>
      <c r="S107" s="62">
        <v>50</v>
      </c>
      <c r="T107" s="62">
        <v>0.1</v>
      </c>
      <c r="U107" s="62">
        <v>30</v>
      </c>
      <c r="V107" s="62">
        <v>21</v>
      </c>
      <c r="W107" s="62">
        <v>55</v>
      </c>
    </row>
    <row r="108" spans="1:23" x14ac:dyDescent="0.25">
      <c r="A108" s="75" t="s">
        <v>262</v>
      </c>
      <c r="B108" s="62">
        <v>2.4</v>
      </c>
      <c r="C108" s="62">
        <v>2.6</v>
      </c>
      <c r="D108" s="62">
        <v>3</v>
      </c>
      <c r="E108" s="62">
        <v>5.5</v>
      </c>
      <c r="F108" s="62">
        <v>0.25</v>
      </c>
      <c r="G108" s="62">
        <v>0.6</v>
      </c>
      <c r="H108" s="62">
        <v>0.7</v>
      </c>
      <c r="I108" s="62">
        <v>1.0900000000000001</v>
      </c>
      <c r="J108" s="62">
        <v>0.11</v>
      </c>
      <c r="K108" s="62">
        <v>0.16</v>
      </c>
      <c r="L108" s="62">
        <v>0</v>
      </c>
      <c r="M108" s="62">
        <v>0</v>
      </c>
      <c r="N108" s="62">
        <v>60</v>
      </c>
      <c r="O108" s="62">
        <v>120</v>
      </c>
      <c r="P108" s="62">
        <v>25</v>
      </c>
      <c r="Q108" s="62">
        <v>200</v>
      </c>
      <c r="R108" s="62">
        <v>25</v>
      </c>
      <c r="S108" s="62">
        <v>100</v>
      </c>
      <c r="T108" s="62">
        <v>5</v>
      </c>
      <c r="U108" s="62">
        <v>17</v>
      </c>
      <c r="V108" s="62">
        <v>30</v>
      </c>
      <c r="W108" s="62">
        <v>100</v>
      </c>
    </row>
    <row r="109" spans="1:23" x14ac:dyDescent="0.25">
      <c r="A109" s="75" t="s">
        <v>263</v>
      </c>
      <c r="B109" s="62" t="s">
        <v>2</v>
      </c>
      <c r="C109" s="62" t="s">
        <v>2</v>
      </c>
      <c r="D109" s="62" t="s">
        <v>2</v>
      </c>
      <c r="E109" s="62" t="s">
        <v>2</v>
      </c>
      <c r="F109" s="62" t="s">
        <v>2</v>
      </c>
      <c r="G109" s="62" t="s">
        <v>2</v>
      </c>
      <c r="H109" s="62" t="s">
        <v>2</v>
      </c>
      <c r="I109" s="62" t="s">
        <v>2</v>
      </c>
      <c r="J109" s="62" t="s">
        <v>2</v>
      </c>
      <c r="K109" s="62" t="s">
        <v>2</v>
      </c>
      <c r="L109" s="62" t="s">
        <v>2</v>
      </c>
      <c r="M109" s="62" t="s">
        <v>2</v>
      </c>
      <c r="N109" s="62" t="s">
        <v>2</v>
      </c>
      <c r="O109" s="62" t="s">
        <v>2</v>
      </c>
      <c r="P109" s="62" t="s">
        <v>2</v>
      </c>
      <c r="Q109" s="62" t="s">
        <v>2</v>
      </c>
      <c r="R109" s="62" t="s">
        <v>2</v>
      </c>
      <c r="S109" s="62" t="s">
        <v>2</v>
      </c>
      <c r="T109" s="62" t="s">
        <v>2</v>
      </c>
      <c r="U109" s="62" t="s">
        <v>2</v>
      </c>
      <c r="V109" s="62" t="s">
        <v>2</v>
      </c>
      <c r="W109" s="62" t="s">
        <v>2</v>
      </c>
    </row>
    <row r="110" spans="1:23" x14ac:dyDescent="0.25">
      <c r="A110" s="74" t="s">
        <v>264</v>
      </c>
      <c r="B110" s="62">
        <v>2.4</v>
      </c>
      <c r="C110" s="62">
        <v>3</v>
      </c>
      <c r="D110" s="62">
        <v>1.5</v>
      </c>
      <c r="E110" s="62">
        <v>5</v>
      </c>
      <c r="F110" s="62">
        <v>0.25</v>
      </c>
      <c r="G110" s="62">
        <v>1</v>
      </c>
      <c r="H110" s="62">
        <v>1.6</v>
      </c>
      <c r="I110" s="62">
        <v>2.5</v>
      </c>
      <c r="J110" s="62">
        <v>0.15</v>
      </c>
      <c r="K110" s="62">
        <v>0.5</v>
      </c>
      <c r="L110" s="62">
        <v>0</v>
      </c>
      <c r="M110" s="62">
        <v>0</v>
      </c>
      <c r="N110" s="62">
        <v>60</v>
      </c>
      <c r="O110" s="62">
        <v>200</v>
      </c>
      <c r="P110" s="62">
        <v>20</v>
      </c>
      <c r="Q110" s="62">
        <v>200</v>
      </c>
      <c r="R110" s="62">
        <v>20</v>
      </c>
      <c r="S110" s="62">
        <v>200</v>
      </c>
      <c r="T110" s="62">
        <v>5</v>
      </c>
      <c r="U110" s="62">
        <v>100</v>
      </c>
      <c r="V110" s="62">
        <v>30</v>
      </c>
      <c r="W110" s="62">
        <v>100</v>
      </c>
    </row>
    <row r="111" spans="1:23" x14ac:dyDescent="0.25">
      <c r="A111" s="75" t="s">
        <v>265</v>
      </c>
      <c r="B111" s="62">
        <v>2</v>
      </c>
      <c r="C111" s="62">
        <v>2.5</v>
      </c>
      <c r="D111" s="62">
        <v>1.5</v>
      </c>
      <c r="E111" s="62">
        <v>2.5</v>
      </c>
      <c r="F111" s="62">
        <v>0.33</v>
      </c>
      <c r="G111" s="62">
        <v>0.9</v>
      </c>
      <c r="H111" s="62">
        <v>3.5</v>
      </c>
      <c r="I111" s="62">
        <v>4.5</v>
      </c>
      <c r="J111" s="62">
        <v>0.3</v>
      </c>
      <c r="K111" s="62">
        <v>0.5</v>
      </c>
      <c r="L111" s="62">
        <v>4000</v>
      </c>
      <c r="M111" s="62">
        <v>6000</v>
      </c>
      <c r="N111" s="62">
        <v>60</v>
      </c>
      <c r="O111" s="62">
        <v>300</v>
      </c>
      <c r="P111" s="62">
        <v>50</v>
      </c>
      <c r="Q111" s="62">
        <v>250</v>
      </c>
      <c r="R111" s="62">
        <v>20</v>
      </c>
      <c r="S111" s="62">
        <v>250</v>
      </c>
      <c r="T111" s="62">
        <v>5</v>
      </c>
      <c r="U111" s="62">
        <v>50</v>
      </c>
      <c r="V111" s="62">
        <v>25</v>
      </c>
      <c r="W111" s="62">
        <v>75</v>
      </c>
    </row>
    <row r="112" spans="1:23" x14ac:dyDescent="0.25">
      <c r="A112" s="75" t="s">
        <v>266</v>
      </c>
      <c r="B112" s="62">
        <v>2.5</v>
      </c>
      <c r="C112" s="62">
        <v>3.5</v>
      </c>
      <c r="D112" s="62">
        <v>1.5</v>
      </c>
      <c r="E112" s="62">
        <v>2.5</v>
      </c>
      <c r="F112" s="62">
        <v>0.32</v>
      </c>
      <c r="G112" s="62">
        <v>0.8</v>
      </c>
      <c r="H112" s="62">
        <v>3.5</v>
      </c>
      <c r="I112" s="62">
        <v>5</v>
      </c>
      <c r="J112" s="62">
        <v>0.35</v>
      </c>
      <c r="K112" s="62">
        <v>0.55000000000000004</v>
      </c>
      <c r="L112" s="62">
        <v>6000</v>
      </c>
      <c r="M112" s="62">
        <v>9000</v>
      </c>
      <c r="N112" s="62">
        <v>60</v>
      </c>
      <c r="O112" s="62">
        <v>300</v>
      </c>
      <c r="P112" s="62">
        <v>50</v>
      </c>
      <c r="Q112" s="62">
        <v>250</v>
      </c>
      <c r="R112" s="62">
        <v>20</v>
      </c>
      <c r="S112" s="62">
        <v>250</v>
      </c>
      <c r="T112" s="62">
        <v>5</v>
      </c>
      <c r="U112" s="62">
        <v>50</v>
      </c>
      <c r="V112" s="62">
        <v>25</v>
      </c>
      <c r="W112" s="62">
        <v>75</v>
      </c>
    </row>
    <row r="113" spans="1:23" x14ac:dyDescent="0.25">
      <c r="A113" s="75" t="s">
        <v>267</v>
      </c>
      <c r="B113" s="62">
        <v>3.5</v>
      </c>
      <c r="C113" s="62">
        <v>5</v>
      </c>
      <c r="D113" s="62">
        <v>1.4</v>
      </c>
      <c r="E113" s="62">
        <v>2.2000000000000002</v>
      </c>
      <c r="F113" s="62">
        <v>0.31</v>
      </c>
      <c r="G113" s="62">
        <v>0.7</v>
      </c>
      <c r="H113" s="62">
        <v>6</v>
      </c>
      <c r="I113" s="62">
        <v>10</v>
      </c>
      <c r="J113" s="62">
        <v>0.7</v>
      </c>
      <c r="K113" s="62">
        <v>1.3</v>
      </c>
      <c r="L113" s="62">
        <v>9000</v>
      </c>
      <c r="M113" s="62">
        <v>12000</v>
      </c>
      <c r="N113" s="62">
        <v>60</v>
      </c>
      <c r="O113" s="62">
        <v>300</v>
      </c>
      <c r="P113" s="62">
        <v>50</v>
      </c>
      <c r="Q113" s="62">
        <v>250</v>
      </c>
      <c r="R113" s="62">
        <v>20</v>
      </c>
      <c r="S113" s="62">
        <v>250</v>
      </c>
      <c r="T113" s="62">
        <v>5</v>
      </c>
      <c r="U113" s="62">
        <v>50</v>
      </c>
      <c r="V113" s="62">
        <v>25</v>
      </c>
      <c r="W113" s="62">
        <v>75</v>
      </c>
    </row>
    <row r="114" spans="1:23" x14ac:dyDescent="0.25">
      <c r="A114" s="75" t="s">
        <v>268</v>
      </c>
      <c r="B114" s="62">
        <v>2.5</v>
      </c>
      <c r="C114" s="62">
        <v>3</v>
      </c>
      <c r="D114" s="62">
        <v>1.5</v>
      </c>
      <c r="E114" s="62">
        <v>2.5</v>
      </c>
      <c r="F114" s="62">
        <v>0.3</v>
      </c>
      <c r="G114" s="62">
        <v>0.9</v>
      </c>
      <c r="H114" s="62">
        <v>3</v>
      </c>
      <c r="I114" s="62">
        <v>4.5</v>
      </c>
      <c r="J114" s="62">
        <v>0.3</v>
      </c>
      <c r="K114" s="62">
        <v>0.5</v>
      </c>
      <c r="L114" s="62">
        <v>4000</v>
      </c>
      <c r="M114" s="62">
        <v>6000</v>
      </c>
      <c r="N114" s="62">
        <v>60</v>
      </c>
      <c r="O114" s="62">
        <v>300</v>
      </c>
      <c r="P114" s="62">
        <v>50</v>
      </c>
      <c r="Q114" s="62">
        <v>250</v>
      </c>
      <c r="R114" s="62">
        <v>20</v>
      </c>
      <c r="S114" s="62">
        <v>250</v>
      </c>
      <c r="T114" s="62">
        <v>5</v>
      </c>
      <c r="U114" s="62">
        <v>50</v>
      </c>
      <c r="V114" s="62">
        <v>25</v>
      </c>
      <c r="W114" s="62">
        <v>75</v>
      </c>
    </row>
    <row r="115" spans="1:23" x14ac:dyDescent="0.25">
      <c r="A115" s="75" t="s">
        <v>269</v>
      </c>
      <c r="B115" s="62">
        <v>3.2</v>
      </c>
      <c r="C115" s="62">
        <v>4.5</v>
      </c>
      <c r="D115" s="62">
        <v>1.5</v>
      </c>
      <c r="E115" s="62">
        <v>2.4</v>
      </c>
      <c r="F115" s="62">
        <v>0.3</v>
      </c>
      <c r="G115" s="62">
        <v>0.8</v>
      </c>
      <c r="H115" s="62">
        <v>5</v>
      </c>
      <c r="I115" s="62">
        <v>10</v>
      </c>
      <c r="J115" s="62">
        <v>0.5</v>
      </c>
      <c r="K115" s="62">
        <v>1.2</v>
      </c>
      <c r="L115" s="62">
        <v>9000</v>
      </c>
      <c r="M115" s="62">
        <v>12000</v>
      </c>
      <c r="N115" s="62">
        <v>60</v>
      </c>
      <c r="O115" s="62">
        <v>300</v>
      </c>
      <c r="P115" s="62">
        <v>50</v>
      </c>
      <c r="Q115" s="62">
        <v>250</v>
      </c>
      <c r="R115" s="62">
        <v>20</v>
      </c>
      <c r="S115" s="62">
        <v>250</v>
      </c>
      <c r="T115" s="62">
        <v>5</v>
      </c>
      <c r="U115" s="62">
        <v>50</v>
      </c>
      <c r="V115" s="62">
        <v>25</v>
      </c>
      <c r="W115" s="62">
        <v>75</v>
      </c>
    </row>
    <row r="116" spans="1:23" x14ac:dyDescent="0.25">
      <c r="A116" s="75" t="s">
        <v>270</v>
      </c>
      <c r="B116" s="62">
        <v>3</v>
      </c>
      <c r="C116" s="62">
        <v>4</v>
      </c>
      <c r="D116" s="62">
        <v>1.5</v>
      </c>
      <c r="E116" s="62">
        <v>2.4</v>
      </c>
      <c r="F116" s="62">
        <v>0.32</v>
      </c>
      <c r="G116" s="62">
        <v>0.8</v>
      </c>
      <c r="H116" s="62">
        <v>5</v>
      </c>
      <c r="I116" s="62">
        <v>9</v>
      </c>
      <c r="J116" s="62">
        <v>0.4</v>
      </c>
      <c r="K116" s="62">
        <v>1</v>
      </c>
      <c r="L116" s="62">
        <v>6000</v>
      </c>
      <c r="M116" s="62">
        <v>9000</v>
      </c>
      <c r="N116" s="62">
        <v>60</v>
      </c>
      <c r="O116" s="62">
        <v>300</v>
      </c>
      <c r="P116" s="62">
        <v>50</v>
      </c>
      <c r="Q116" s="62">
        <v>250</v>
      </c>
      <c r="R116" s="62">
        <v>20</v>
      </c>
      <c r="S116" s="62">
        <v>250</v>
      </c>
      <c r="T116" s="62">
        <v>5</v>
      </c>
      <c r="U116" s="62">
        <v>50</v>
      </c>
      <c r="V116" s="62">
        <v>25</v>
      </c>
      <c r="W116" s="62">
        <v>75</v>
      </c>
    </row>
    <row r="117" spans="1:23" x14ac:dyDescent="0.25">
      <c r="A117" s="75" t="s">
        <v>271</v>
      </c>
      <c r="B117" s="62">
        <v>3.5</v>
      </c>
      <c r="C117" s="62">
        <v>5</v>
      </c>
      <c r="D117" s="62">
        <v>1.4</v>
      </c>
      <c r="E117" s="62">
        <v>2.2000000000000002</v>
      </c>
      <c r="F117" s="62">
        <v>0.31</v>
      </c>
      <c r="G117" s="62">
        <v>0.7</v>
      </c>
      <c r="H117" s="62">
        <v>6</v>
      </c>
      <c r="I117" s="62">
        <v>8</v>
      </c>
      <c r="J117" s="62">
        <v>0.7</v>
      </c>
      <c r="K117" s="62">
        <v>1.3</v>
      </c>
      <c r="L117" s="62">
        <v>8000</v>
      </c>
      <c r="M117" s="62">
        <v>12000</v>
      </c>
      <c r="N117" s="62">
        <v>60</v>
      </c>
      <c r="O117" s="62">
        <v>300</v>
      </c>
      <c r="P117" s="62">
        <v>50</v>
      </c>
      <c r="Q117" s="62">
        <v>250</v>
      </c>
      <c r="R117" s="62">
        <v>20</v>
      </c>
      <c r="S117" s="62">
        <v>250</v>
      </c>
      <c r="T117" s="62">
        <v>5</v>
      </c>
      <c r="U117" s="62">
        <v>50</v>
      </c>
      <c r="V117" s="62">
        <v>25</v>
      </c>
      <c r="W117" s="62">
        <v>75</v>
      </c>
    </row>
    <row r="118" spans="1:23" x14ac:dyDescent="0.25">
      <c r="A118" s="75" t="s">
        <v>272</v>
      </c>
      <c r="B118" s="62">
        <v>4</v>
      </c>
      <c r="C118" s="62">
        <v>6</v>
      </c>
      <c r="D118" s="62">
        <v>1</v>
      </c>
      <c r="E118" s="62">
        <v>3</v>
      </c>
      <c r="F118" s="62">
        <v>0.4</v>
      </c>
      <c r="G118" s="62">
        <v>0.6</v>
      </c>
      <c r="H118" s="62">
        <v>2.9</v>
      </c>
      <c r="I118" s="62">
        <v>5</v>
      </c>
      <c r="J118" s="62">
        <v>0.25</v>
      </c>
      <c r="K118" s="62">
        <v>0.75</v>
      </c>
      <c r="L118" s="62">
        <v>0</v>
      </c>
      <c r="M118" s="62">
        <v>0</v>
      </c>
      <c r="N118" s="62">
        <v>40</v>
      </c>
      <c r="O118" s="62">
        <v>200</v>
      </c>
      <c r="P118" s="62">
        <v>40</v>
      </c>
      <c r="Q118" s="62">
        <v>250</v>
      </c>
      <c r="R118" s="62">
        <v>20</v>
      </c>
      <c r="S118" s="62">
        <v>50</v>
      </c>
      <c r="T118" s="62">
        <v>5</v>
      </c>
      <c r="U118" s="62">
        <v>20</v>
      </c>
      <c r="V118" s="62">
        <v>25</v>
      </c>
      <c r="W118" s="62">
        <v>60</v>
      </c>
    </row>
    <row r="119" spans="1:23" x14ac:dyDescent="0.25">
      <c r="A119" s="75" t="s">
        <v>273</v>
      </c>
      <c r="B119" s="62">
        <v>3.5</v>
      </c>
      <c r="C119" s="62">
        <v>5</v>
      </c>
      <c r="D119" s="62">
        <v>1.3</v>
      </c>
      <c r="E119" s="62">
        <v>2.8</v>
      </c>
      <c r="F119" s="62">
        <v>0.3</v>
      </c>
      <c r="G119" s="62">
        <v>1</v>
      </c>
      <c r="H119" s="62">
        <v>3.5</v>
      </c>
      <c r="I119" s="62">
        <v>4.5</v>
      </c>
      <c r="J119" s="62">
        <v>0.22</v>
      </c>
      <c r="K119" s="62">
        <v>0.7</v>
      </c>
      <c r="L119" s="62">
        <v>5000</v>
      </c>
      <c r="M119" s="62">
        <v>8000</v>
      </c>
      <c r="N119" s="62">
        <v>60</v>
      </c>
      <c r="O119" s="62">
        <v>300</v>
      </c>
      <c r="P119" s="62">
        <v>50</v>
      </c>
      <c r="Q119" s="62">
        <v>250</v>
      </c>
      <c r="R119" s="62">
        <v>20</v>
      </c>
      <c r="S119" s="62">
        <v>200</v>
      </c>
      <c r="T119" s="62">
        <v>5</v>
      </c>
      <c r="U119" s="62">
        <v>25</v>
      </c>
      <c r="V119" s="62">
        <v>25</v>
      </c>
      <c r="W119" s="62">
        <v>75</v>
      </c>
    </row>
    <row r="120" spans="1:23" x14ac:dyDescent="0.25">
      <c r="A120" s="75" t="s">
        <v>274</v>
      </c>
      <c r="B120" s="62">
        <v>2</v>
      </c>
      <c r="C120" s="62">
        <v>2.6</v>
      </c>
      <c r="D120" s="62">
        <v>1.5</v>
      </c>
      <c r="E120" s="62">
        <v>5.5</v>
      </c>
      <c r="F120" s="62">
        <v>0.3</v>
      </c>
      <c r="G120" s="62">
        <v>0.6</v>
      </c>
      <c r="H120" s="62">
        <v>0.8</v>
      </c>
      <c r="I120" s="62">
        <v>2.2000000000000002</v>
      </c>
      <c r="J120" s="62">
        <v>0.13</v>
      </c>
      <c r="K120" s="62">
        <v>0.5</v>
      </c>
      <c r="L120" s="62">
        <v>0</v>
      </c>
      <c r="M120" s="62">
        <v>0</v>
      </c>
      <c r="N120" s="62">
        <v>60</v>
      </c>
      <c r="O120" s="62">
        <v>200</v>
      </c>
      <c r="P120" s="62">
        <v>25</v>
      </c>
      <c r="Q120" s="62">
        <v>200</v>
      </c>
      <c r="R120" s="62">
        <v>25</v>
      </c>
      <c r="S120" s="62">
        <v>200</v>
      </c>
      <c r="T120" s="62">
        <v>5</v>
      </c>
      <c r="U120" s="62">
        <v>16</v>
      </c>
      <c r="V120" s="62">
        <v>31</v>
      </c>
      <c r="W120" s="62">
        <v>100</v>
      </c>
    </row>
    <row r="121" spans="1:23" x14ac:dyDescent="0.25">
      <c r="A121" s="75" t="s">
        <v>275</v>
      </c>
      <c r="B121" s="62">
        <v>2.4</v>
      </c>
      <c r="C121" s="62">
        <v>3</v>
      </c>
      <c r="D121" s="62">
        <v>1.5</v>
      </c>
      <c r="E121" s="62">
        <v>5.5</v>
      </c>
      <c r="F121" s="62">
        <v>0.25</v>
      </c>
      <c r="G121" s="62">
        <v>0.75</v>
      </c>
      <c r="H121" s="62">
        <v>0.8</v>
      </c>
      <c r="I121" s="62">
        <v>2.2000000000000002</v>
      </c>
      <c r="J121" s="62">
        <v>0.15</v>
      </c>
      <c r="K121" s="62">
        <v>0.5</v>
      </c>
      <c r="L121" s="62">
        <v>0</v>
      </c>
      <c r="M121" s="62">
        <v>0</v>
      </c>
      <c r="N121" s="62">
        <v>60</v>
      </c>
      <c r="O121" s="62">
        <v>200</v>
      </c>
      <c r="P121" s="62">
        <v>25</v>
      </c>
      <c r="Q121" s="62">
        <v>200</v>
      </c>
      <c r="R121" s="62">
        <v>25</v>
      </c>
      <c r="S121" s="62">
        <v>100</v>
      </c>
      <c r="T121" s="62">
        <v>5</v>
      </c>
      <c r="U121" s="62">
        <v>100</v>
      </c>
      <c r="V121" s="62">
        <v>30</v>
      </c>
      <c r="W121" s="62">
        <v>100</v>
      </c>
    </row>
    <row r="122" spans="1:23" x14ac:dyDescent="0.25">
      <c r="A122" s="74" t="s">
        <v>276</v>
      </c>
      <c r="B122" s="62">
        <v>3.2</v>
      </c>
      <c r="C122" s="62">
        <v>4.9000000000000004</v>
      </c>
      <c r="D122" s="62">
        <v>0.2</v>
      </c>
      <c r="E122" s="62">
        <v>0.5</v>
      </c>
      <c r="F122" s="62">
        <v>0.15</v>
      </c>
      <c r="G122" s="62">
        <v>0.5</v>
      </c>
      <c r="H122" s="62">
        <v>3.3</v>
      </c>
      <c r="I122" s="62">
        <v>4.8</v>
      </c>
      <c r="J122" s="62">
        <v>0.27</v>
      </c>
      <c r="K122" s="62">
        <v>0.63</v>
      </c>
      <c r="L122" s="62">
        <v>2000</v>
      </c>
      <c r="M122" s="62">
        <v>6000</v>
      </c>
      <c r="N122" s="62">
        <v>25</v>
      </c>
      <c r="O122" s="62">
        <v>100</v>
      </c>
      <c r="P122" s="62">
        <v>25</v>
      </c>
      <c r="Q122" s="62">
        <v>100</v>
      </c>
      <c r="R122" s="62">
        <v>30</v>
      </c>
      <c r="S122" s="62">
        <v>60</v>
      </c>
      <c r="T122" s="62">
        <v>5</v>
      </c>
      <c r="U122" s="62">
        <v>25</v>
      </c>
      <c r="V122" s="62">
        <v>6</v>
      </c>
      <c r="W122" s="62">
        <v>10</v>
      </c>
    </row>
    <row r="123" spans="1:23" x14ac:dyDescent="0.25">
      <c r="A123" s="84" t="s">
        <v>277</v>
      </c>
      <c r="B123" s="62">
        <v>2.2000000000000002</v>
      </c>
      <c r="C123" s="62">
        <v>3.8</v>
      </c>
      <c r="D123" s="62">
        <v>0.3</v>
      </c>
      <c r="E123" s="62">
        <v>0.6</v>
      </c>
      <c r="F123" s="62">
        <v>0.12</v>
      </c>
      <c r="G123" s="62">
        <v>0.24</v>
      </c>
      <c r="H123" s="62">
        <v>3.3</v>
      </c>
      <c r="I123" s="62">
        <v>4.8</v>
      </c>
      <c r="J123" s="62">
        <v>0.22</v>
      </c>
      <c r="K123" s="62">
        <v>0.5</v>
      </c>
      <c r="L123" s="62">
        <v>2000</v>
      </c>
      <c r="M123" s="62">
        <v>6000</v>
      </c>
      <c r="N123" s="62">
        <v>160</v>
      </c>
      <c r="O123" s="62">
        <v>300</v>
      </c>
      <c r="P123" s="62">
        <v>45</v>
      </c>
      <c r="Q123" s="62">
        <v>200</v>
      </c>
      <c r="R123" s="62">
        <v>35</v>
      </c>
      <c r="S123" s="62">
        <v>70</v>
      </c>
      <c r="T123" s="62">
        <v>20</v>
      </c>
      <c r="U123" s="62">
        <v>30</v>
      </c>
      <c r="V123" s="62">
        <v>12</v>
      </c>
      <c r="W123" s="62">
        <v>65</v>
      </c>
    </row>
    <row r="124" spans="1:23" x14ac:dyDescent="0.25">
      <c r="A124" s="83" t="s">
        <v>278</v>
      </c>
      <c r="B124" s="62">
        <v>1.75</v>
      </c>
      <c r="C124" s="62">
        <v>3</v>
      </c>
      <c r="D124" s="62">
        <v>0.2</v>
      </c>
      <c r="E124" s="62">
        <v>1</v>
      </c>
      <c r="F124" s="62">
        <v>0.15</v>
      </c>
      <c r="G124" s="62">
        <v>1</v>
      </c>
      <c r="H124" s="62">
        <v>1.5</v>
      </c>
      <c r="I124" s="62">
        <v>3</v>
      </c>
      <c r="J124" s="62">
        <v>0.2</v>
      </c>
      <c r="K124" s="62">
        <v>0.5</v>
      </c>
      <c r="L124" s="62">
        <v>0</v>
      </c>
      <c r="M124" s="62">
        <v>0</v>
      </c>
      <c r="N124" s="62">
        <v>10</v>
      </c>
      <c r="O124" s="62">
        <v>300</v>
      </c>
      <c r="P124" s="62">
        <v>16</v>
      </c>
      <c r="Q124" s="62">
        <v>200</v>
      </c>
      <c r="R124" s="62">
        <v>20</v>
      </c>
      <c r="S124" s="62">
        <v>70</v>
      </c>
      <c r="T124" s="62">
        <v>5</v>
      </c>
      <c r="U124" s="62">
        <v>50</v>
      </c>
      <c r="V124" s="62">
        <v>13</v>
      </c>
      <c r="W124" s="62">
        <v>60</v>
      </c>
    </row>
    <row r="125" spans="1:23" x14ac:dyDescent="0.25">
      <c r="A125" s="74" t="s">
        <v>279</v>
      </c>
      <c r="B125" s="62">
        <v>4</v>
      </c>
      <c r="C125" s="62">
        <v>6</v>
      </c>
      <c r="D125" s="62">
        <v>0.5</v>
      </c>
      <c r="E125" s="62">
        <v>0.8</v>
      </c>
      <c r="F125" s="62">
        <v>0.15</v>
      </c>
      <c r="G125" s="62">
        <v>0.25</v>
      </c>
      <c r="H125" s="62">
        <v>3.55</v>
      </c>
      <c r="I125" s="62">
        <v>4.8</v>
      </c>
      <c r="J125" s="62">
        <v>0.4</v>
      </c>
      <c r="K125" s="62">
        <v>0.7</v>
      </c>
      <c r="L125" s="62">
        <v>4000</v>
      </c>
      <c r="M125" s="62">
        <v>8000</v>
      </c>
      <c r="N125" s="62">
        <v>25</v>
      </c>
      <c r="O125" s="62">
        <v>150</v>
      </c>
      <c r="P125" s="62">
        <v>25</v>
      </c>
      <c r="Q125" s="62">
        <v>55</v>
      </c>
      <c r="R125" s="62">
        <v>25</v>
      </c>
      <c r="S125" s="62">
        <v>55</v>
      </c>
      <c r="T125" s="62">
        <v>7</v>
      </c>
      <c r="U125" s="62">
        <v>20</v>
      </c>
      <c r="V125" s="62">
        <v>5</v>
      </c>
      <c r="W125" s="62">
        <v>30</v>
      </c>
    </row>
    <row r="126" spans="1:23" x14ac:dyDescent="0.25">
      <c r="A126" s="75" t="s">
        <v>280</v>
      </c>
      <c r="B126" s="62">
        <v>2</v>
      </c>
      <c r="C126" s="62">
        <v>2.2999999999999998</v>
      </c>
      <c r="D126" s="62">
        <v>2</v>
      </c>
      <c r="E126" s="62">
        <v>2.5</v>
      </c>
      <c r="F126" s="62">
        <v>0.25</v>
      </c>
      <c r="G126" s="62">
        <v>0.5</v>
      </c>
      <c r="H126" s="62">
        <v>1.3</v>
      </c>
      <c r="I126" s="62">
        <v>1.4</v>
      </c>
      <c r="J126" s="62">
        <v>0.3</v>
      </c>
      <c r="K126" s="62">
        <v>0.4</v>
      </c>
      <c r="L126" s="62">
        <v>0</v>
      </c>
      <c r="M126" s="62">
        <v>0</v>
      </c>
      <c r="N126" s="62">
        <v>60</v>
      </c>
      <c r="O126" s="62">
        <v>175</v>
      </c>
      <c r="P126" s="62">
        <v>30</v>
      </c>
      <c r="Q126" s="62">
        <v>300</v>
      </c>
      <c r="R126" s="62">
        <v>25</v>
      </c>
      <c r="S126" s="62">
        <v>100</v>
      </c>
      <c r="T126" s="62">
        <v>5</v>
      </c>
      <c r="U126" s="62">
        <v>50</v>
      </c>
      <c r="V126" s="62">
        <v>25</v>
      </c>
      <c r="W126" s="62">
        <v>70</v>
      </c>
    </row>
    <row r="127" spans="1:23" x14ac:dyDescent="0.25">
      <c r="A127" s="75" t="s">
        <v>281</v>
      </c>
      <c r="B127" s="62">
        <v>1.7</v>
      </c>
      <c r="C127" s="62">
        <v>3</v>
      </c>
      <c r="D127" s="62">
        <v>1</v>
      </c>
      <c r="E127" s="62">
        <v>3</v>
      </c>
      <c r="F127" s="62">
        <v>0.3</v>
      </c>
      <c r="G127" s="62">
        <v>1.5</v>
      </c>
      <c r="H127" s="62">
        <v>1.5</v>
      </c>
      <c r="I127" s="62">
        <v>2</v>
      </c>
      <c r="J127" s="62">
        <v>0.15</v>
      </c>
      <c r="K127" s="62">
        <v>0.5</v>
      </c>
      <c r="L127" s="62">
        <v>600</v>
      </c>
      <c r="M127" s="62">
        <v>1200</v>
      </c>
      <c r="N127" s="62">
        <v>40</v>
      </c>
      <c r="O127" s="62">
        <v>300</v>
      </c>
      <c r="P127" s="62">
        <v>30</v>
      </c>
      <c r="Q127" s="62">
        <v>150</v>
      </c>
      <c r="R127" s="62">
        <v>25</v>
      </c>
      <c r="S127" s="62">
        <v>100</v>
      </c>
      <c r="T127" s="62">
        <v>5</v>
      </c>
      <c r="U127" s="62">
        <v>50</v>
      </c>
      <c r="V127" s="62">
        <v>30</v>
      </c>
      <c r="W127" s="62">
        <v>100</v>
      </c>
    </row>
    <row r="128" spans="1:23" x14ac:dyDescent="0.25">
      <c r="A128" s="75" t="s">
        <v>292</v>
      </c>
      <c r="B128" s="62">
        <v>1.7</v>
      </c>
      <c r="C128" s="62">
        <v>3</v>
      </c>
    </row>
  </sheetData>
  <autoFilter ref="A1:W128">
    <filterColumn colId="1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sortState ref="A2:W127">
      <sortCondition ref="A1"/>
    </sortState>
  </autoFilter>
  <mergeCells count="11">
    <mergeCell ref="V1:W1"/>
    <mergeCell ref="J1:K1"/>
    <mergeCell ref="L1:M1"/>
    <mergeCell ref="N1:O1"/>
    <mergeCell ref="P1:Q1"/>
    <mergeCell ref="R1:S1"/>
    <mergeCell ref="B1:C1"/>
    <mergeCell ref="D1:E1"/>
    <mergeCell ref="F1:G1"/>
    <mergeCell ref="H1:I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Datos_Cliente</vt:lpstr>
      <vt:lpstr>Lectura_Fert</vt:lpstr>
      <vt:lpstr>Factores</vt:lpstr>
      <vt:lpstr>Boro</vt:lpstr>
      <vt:lpstr>N_Total</vt:lpstr>
      <vt:lpstr>N-NO3</vt:lpstr>
      <vt:lpstr>P_Aprov</vt:lpstr>
      <vt:lpstr>RESULTADOS </vt:lpstr>
      <vt:lpstr>CULTIVOS</vt:lpstr>
      <vt:lpstr>Lectura_Fert!Área_de_impresión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Arturo Chairez Soto</dc:creator>
  <cp:lastModifiedBy>RECEPCION</cp:lastModifiedBy>
  <cp:revision/>
  <cp:lastPrinted>2025-09-26T18:36:33Z</cp:lastPrinted>
  <dcterms:created xsi:type="dcterms:W3CDTF">2019-12-16T22:03:56Z</dcterms:created>
  <dcterms:modified xsi:type="dcterms:W3CDTF">2025-09-26T18:36:35Z</dcterms:modified>
</cp:coreProperties>
</file>